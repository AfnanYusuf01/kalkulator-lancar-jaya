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KATALOG" sheetId="2" state="visible" r:id="rId4"/>
    <sheet name="KALKULATOR" sheetId="3" state="visible" r:id="rId5"/>
    <sheet name="PROFI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<sst xmlns="http://schemas.openxmlformats.org/spreadsheetml/2006/main" count="420" uniqueCount="284">
  <si>
    <t xml:space="preserve">KALKULATOR COST &amp; HARGA JUAL</t>
  </si>
  <si>
    <t xml:space="preserve">Divisi Handling - Lancar Jaya (LA &amp; Handling Services)</t>
  </si>
  <si>
    <t xml:space="preserve">Versi 1.0 - Agustus 2026 | Khusus Divisi Handling (LA menyusul terpisah)</t>
  </si>
  <si>
    <t xml:space="preserve">CARA PAKAI</t>
  </si>
  <si>
    <t xml:space="preserve">Langkah 1</t>
  </si>
  <si>
    <t xml:space="preserve">Buka sheet KALKULATOR. Isi Bagian A (Parameter Paket): jumlah pax, durasi, jumlah hotel, dll.</t>
  </si>
  <si>
    <t xml:space="preserve">Langkah 2</t>
  </si>
  <si>
    <t xml:space="preserve">Di Bagian B, pilih YA/TIDAK untuk tiap layanan, dan isi kolom Qty (jumlah unit).</t>
  </si>
  <si>
    <t xml:space="preserve">Langkah 3</t>
  </si>
  <si>
    <t xml:space="preserve">Lihat Bagian C (Rekap) - cost dan harga jual keluar otomatis.</t>
  </si>
  <si>
    <t xml:space="preserve">Langkah 4</t>
  </si>
  <si>
    <t xml:space="preserve">Buka sheet PROFIT untuk melihat distribusi bagi hasil.</t>
  </si>
  <si>
    <t xml:space="preserve">Ubah tarif?</t>
  </si>
  <si>
    <t xml:space="preserve">Buka sheet KATALOG. Semua tarif ada di sana dan bisa diedit langsung.</t>
  </si>
  <si>
    <t xml:space="preserve">Tambah item?</t>
  </si>
  <si>
    <t xml:space="preserve">Isi baris kosong di bagian TAMBAHAN pada sheet KATALOG dan KALKULATOR.</t>
  </si>
  <si>
    <t xml:space="preserve">LEGENDA WARNA</t>
  </si>
  <si>
    <t xml:space="preserve">Kuning + teks biru</t>
  </si>
  <si>
    <t xml:space="preserve">SEL YANG ANDA ISI. Ini input utama - ubah sesuai kebutuhan.</t>
  </si>
  <si>
    <t xml:space="preserve">Teks biru</t>
  </si>
  <si>
    <t xml:space="preserve">Angka tarif yang bisa diedit (di sheet KATALOG).</t>
  </si>
  <si>
    <t xml:space="preserve">Teks hitam</t>
  </si>
  <si>
    <t xml:space="preserve">Hasil rumus otomatis. JANGAN DIUBAH.</t>
  </si>
  <si>
    <t xml:space="preserve">Teks hijau</t>
  </si>
  <si>
    <t xml:space="preserve">Rumus yang mengambil data dari sheet lain. JANGAN DIUBAH.</t>
  </si>
  <si>
    <t xml:space="preserve">Abu-abu tebal</t>
  </si>
  <si>
    <t xml:space="preserve">Baris total / subtotal.</t>
  </si>
  <si>
    <t xml:space="preserve">ISTILAH BASIS BIAYA</t>
  </si>
  <si>
    <t xml:space="preserve">PAX</t>
  </si>
  <si>
    <t xml:space="preserve">Biaya dikalikan jumlah jama'ah. Contoh: tips porter 20 SAR/pax x 40 pax = 800 SAR.</t>
  </si>
  <si>
    <t xml:space="preserve">FLAT</t>
  </si>
  <si>
    <t xml:space="preserve">Biaya tetap, tidak terpengaruh jumlah jama'ah. Contoh: fee freelancer 200 SAR.</t>
  </si>
  <si>
    <t xml:space="preserve">Qty</t>
  </si>
  <si>
    <t xml:space="preserve">Jumlah unit. Contoh: Snack City Tour Qty 2 = dua kali sesi city tour.</t>
  </si>
  <si>
    <t xml:space="preserve">CATATAN PENTING</t>
  </si>
  <si>
    <t xml:space="preserve">-</t>
  </si>
  <si>
    <t xml:space="preserve">Seluruh angka dalam SAR. Kurs SAR-IDR diisi di sheet KALKULATOR dan wajib dicek ulang saat transaksi.</t>
  </si>
  <si>
    <t xml:space="preserve">Divisi Layanan Khusus &amp; Insidental (jama'ah sakit, wafat, job insidental) TIDAK masuk kalkulator ini karena sifatnya pass-through - ditagihkan terpisah ke client.</t>
  </si>
  <si>
    <t xml:space="preserve">Biaya legalitas, administrasi PT, konsultan pajak, dan marketing TIDAK masuk overhead - dibebankan ke profit (lihat sheet PROFIT).</t>
  </si>
  <si>
    <t xml:space="preserve">Sifat biaya layanan Kursi Roda: Proses Umroh = per sesi per jama'ah; Harian = per hari per jama'ah. Isi Qty = jumlah sesi/hari x jumlah jama'ah pengguna.</t>
  </si>
  <si>
    <t xml:space="preserve">Angka default yang terisi adalah paket standar 40 pax, 9 hari, 2 hotel, katering reguler.</t>
  </si>
  <si>
    <t xml:space="preserve">KATALOG TARIF - DIVISI HANDLING</t>
  </si>
  <si>
    <t xml:space="preserve">Semua tarif di bawah bisa diedit. Ubah angka biru, seluruh kalkulator ikut menyesuaikan.</t>
  </si>
  <si>
    <t xml:space="preserve">Kode</t>
  </si>
  <si>
    <t xml:space="preserve">Komponen</t>
  </si>
  <si>
    <t xml:space="preserve">Basis</t>
  </si>
  <si>
    <t xml:space="preserve">Rate Standar</t>
  </si>
  <si>
    <t xml:space="preserve">Rate Maksimal</t>
  </si>
  <si>
    <t xml:space="preserve">Rate Aktif</t>
  </si>
  <si>
    <t xml:space="preserve">Catatan</t>
  </si>
  <si>
    <t xml:space="preserve">A. HANDLING BANDARA &amp; HOTEL</t>
  </si>
  <si>
    <t xml:space="preserve">H01</t>
  </si>
  <si>
    <t xml:space="preserve">Fee Freelancer - Bandara Kedatangan</t>
  </si>
  <si>
    <t xml:space="preserve">Per job</t>
  </si>
  <si>
    <t xml:space="preserve">H02</t>
  </si>
  <si>
    <t xml:space="preserve">Ongkos Transport PP - Kedatangan</t>
  </si>
  <si>
    <t xml:space="preserve">H03</t>
  </si>
  <si>
    <t xml:space="preserve">Tips Porter - Kedatangan</t>
  </si>
  <si>
    <t xml:space="preserve">Jeddah T1 bisa 10 SAR/pax</t>
  </si>
  <si>
    <t xml:space="preserve">H04</t>
  </si>
  <si>
    <t xml:space="preserve">Tips Muasasah - Kedatangan</t>
  </si>
  <si>
    <t xml:space="preserve">Nego</t>
  </si>
  <si>
    <t xml:space="preserve">H05</t>
  </si>
  <si>
    <t xml:space="preserve">Fee Freelancer - Check-in Hotel</t>
  </si>
  <si>
    <t xml:space="preserve">Per hotel</t>
  </si>
  <si>
    <t xml:space="preserve">H06</t>
  </si>
  <si>
    <t xml:space="preserve">Tips Bellboy - Check-in</t>
  </si>
  <si>
    <t xml:space="preserve">Per hotel, nego</t>
  </si>
  <si>
    <t xml:space="preserve">H07</t>
  </si>
  <si>
    <t xml:space="preserve">Fee Freelancer - Check-out Hotel</t>
  </si>
  <si>
    <t xml:space="preserve">H08</t>
  </si>
  <si>
    <t xml:space="preserve">Tips Bellboy - Check-out</t>
  </si>
  <si>
    <t xml:space="preserve">H09</t>
  </si>
  <si>
    <t xml:space="preserve">Tips Muasasah - Check-out</t>
  </si>
  <si>
    <t xml:space="preserve">1x per trip, nego</t>
  </si>
  <si>
    <t xml:space="preserve">H10</t>
  </si>
  <si>
    <t xml:space="preserve">Fee Freelancer - Bandara Kepulangan</t>
  </si>
  <si>
    <t xml:space="preserve">H11</t>
  </si>
  <si>
    <t xml:space="preserve">Ongkos Transport PP - Kepulangan</t>
  </si>
  <si>
    <t xml:space="preserve">H12</t>
  </si>
  <si>
    <t xml:space="preserve">Tips Porter - Kepulangan</t>
  </si>
  <si>
    <t xml:space="preserve">H13</t>
  </si>
  <si>
    <t xml:space="preserve">Tips Petugas Zamzam</t>
  </si>
  <si>
    <t xml:space="preserve">Penataan galon di troli</t>
  </si>
  <si>
    <t xml:space="preserve">B. MUTHOWIF</t>
  </si>
  <si>
    <t xml:space="preserve">M01</t>
  </si>
  <si>
    <t xml:space="preserve">Fee Muthowif (per hari)</t>
  </si>
  <si>
    <t xml:space="preserve">1 orang per grup/bus</t>
  </si>
  <si>
    <t xml:space="preserve">M02</t>
  </si>
  <si>
    <t xml:space="preserve">Ongkos Muthowif PP</t>
  </si>
  <si>
    <t xml:space="preserve">150 x 2</t>
  </si>
  <si>
    <t xml:space="preserve">M03</t>
  </si>
  <si>
    <t xml:space="preserve">Fee Muthowifah - Bimbingan Raudhoh</t>
  </si>
  <si>
    <t xml:space="preserve">1x per trip</t>
  </si>
  <si>
    <t xml:space="preserve">M04</t>
  </si>
  <si>
    <t xml:space="preserve">Kursi Roda - Proses Umroh (per sesi/jama'ah)</t>
  </si>
  <si>
    <t xml:space="preserve">Thawaf &amp; Sa'i</t>
  </si>
  <si>
    <t xml:space="preserve">M05</t>
  </si>
  <si>
    <t xml:space="preserve">Kursi Roda - Harian (per hari/jama'ah)</t>
  </si>
  <si>
    <t xml:space="preserve">Termasuk thawaf &amp; sa'i</t>
  </si>
  <si>
    <t xml:space="preserve">C. KATERING &amp; SNACK</t>
  </si>
  <si>
    <t xml:space="preserve">K01</t>
  </si>
  <si>
    <t xml:space="preserve">Nasi Box - REGULER</t>
  </si>
  <si>
    <t xml:space="preserve">Bandara-Kota</t>
  </si>
  <si>
    <t xml:space="preserve">K02</t>
  </si>
  <si>
    <t xml:space="preserve">Nasi Box - PREMIUM</t>
  </si>
  <si>
    <t xml:space="preserve">K03</t>
  </si>
  <si>
    <t xml:space="preserve">Snack City Tour - REGULER</t>
  </si>
  <si>
    <t xml:space="preserve">Per sesi</t>
  </si>
  <si>
    <t xml:space="preserve">K04</t>
  </si>
  <si>
    <t xml:space="preserve">Snack City Tour - PREMIUM</t>
  </si>
  <si>
    <t xml:space="preserve">K05</t>
  </si>
  <si>
    <t xml:space="preserve">Snack Madinah-Makkah - REGULER</t>
  </si>
  <si>
    <t xml:space="preserve">Atau sebaliknya</t>
  </si>
  <si>
    <t xml:space="preserve">K06</t>
  </si>
  <si>
    <t xml:space="preserve">Snack Madinah-Makkah - PREMIUM</t>
  </si>
  <si>
    <t xml:space="preserve">K07</t>
  </si>
  <si>
    <t xml:space="preserve">Air Zamzam Galon 5L (bawa pulang)</t>
  </si>
  <si>
    <t xml:space="preserve">Per jama'ah</t>
  </si>
  <si>
    <t xml:space="preserve">K08</t>
  </si>
  <si>
    <t xml:space="preserve">Albaik Kepulangan</t>
  </si>
  <si>
    <t xml:space="preserve">Add-on / paket premium</t>
  </si>
  <si>
    <t xml:space="preserve">K09</t>
  </si>
  <si>
    <t xml:space="preserve">Welcoming Drink (zamzam + cup 50pcs)</t>
  </si>
  <si>
    <t xml:space="preserve">1 galon cukup s/d 50 pax</t>
  </si>
  <si>
    <t xml:space="preserve">D. TIP DRIVER BUS</t>
  </si>
  <si>
    <t xml:space="preserve">D01</t>
  </si>
  <si>
    <t xml:space="preserve">Tip Driver - Bandara ke Hotel</t>
  </si>
  <si>
    <t xml:space="preserve">Per trip</t>
  </si>
  <si>
    <t xml:space="preserve">D02</t>
  </si>
  <si>
    <t xml:space="preserve">Tip Driver - City Tour (per sesi)</t>
  </si>
  <si>
    <t xml:space="preserve">D03</t>
  </si>
  <si>
    <t xml:space="preserve">Tip Driver - Madinah ke Makkah</t>
  </si>
  <si>
    <t xml:space="preserve">D04</t>
  </si>
  <si>
    <t xml:space="preserve">Tip Driver - Hotel ke Bandara</t>
  </si>
  <si>
    <t xml:space="preserve">E. PHOTOGRAPHY</t>
  </si>
  <si>
    <t xml:space="preserve">P01</t>
  </si>
  <si>
    <t xml:space="preserve">Sesi Standar (CT/Nabawi/Umroh Wajib)</t>
  </si>
  <si>
    <t xml:space="preserve">P02</t>
  </si>
  <si>
    <t xml:space="preserve">Sesi CT Makkah + Umroh Kedua</t>
  </si>
  <si>
    <t xml:space="preserve">P03</t>
  </si>
  <si>
    <t xml:space="preserve">Sesi Jabal Khandamah (grup)</t>
  </si>
  <si>
    <t xml:space="preserve">P04</t>
  </si>
  <si>
    <t xml:space="preserve">Surcharge Kamera Profesional</t>
  </si>
  <si>
    <t xml:space="preserve">Hanya sesi berkamera</t>
  </si>
  <si>
    <t xml:space="preserve">F. PENDAMPINGAN &amp; KONSULTASI KESEHATAN</t>
  </si>
  <si>
    <t xml:space="preserve">S01</t>
  </si>
  <si>
    <t xml:space="preserve">Fee Tenaga Medis (1 sesi = 3 jam)</t>
  </si>
  <si>
    <t xml:space="preserve">Alat dibawa sendiri</t>
  </si>
  <si>
    <t xml:space="preserve">G. TAMBAHAN (ISI SENDIRI)</t>
  </si>
  <si>
    <t xml:space="preserve">X01</t>
  </si>
  <si>
    <t xml:space="preserve">X02</t>
  </si>
  <si>
    <t xml:space="preserve">X03</t>
  </si>
  <si>
    <t xml:space="preserve">X04</t>
  </si>
  <si>
    <t xml:space="preserve">X05</t>
  </si>
  <si>
    <t xml:space="preserve">X06</t>
  </si>
  <si>
    <t xml:space="preserve">X07</t>
  </si>
  <si>
    <t xml:space="preserve">X08</t>
  </si>
  <si>
    <t xml:space="preserve">CATATAN: Kolom 'Rate Aktif' otomatis memilih antara Rate Standar atau Rate Maksimal, mengikuti pilihan Skenario Tips di sheet KALKULATOR (sel C12). Untuk komponen yang tidak punya rentang nego, isi Rate Standar dan Rate Maksimal dengan angka yang sama.
Basis PAX = dikalikan jumlah jama'ah. Basis FLAT = tidak dikalikan jumlah jama'ah.</t>
  </si>
  <si>
    <t xml:space="preserve">KALKULATOR COST &amp; HARGA JUAL - DIVISI HANDLING</t>
  </si>
  <si>
    <t xml:space="preserve">Isi sel kuning. Sisanya otomatis.</t>
  </si>
  <si>
    <t xml:space="preserve">A.  PARAMETER PAKET</t>
  </si>
  <si>
    <t xml:space="preserve">Jumlah Jama'ah (Pax)</t>
  </si>
  <si>
    <t xml:space="preserve">Total jama'ah dalam grup</t>
  </si>
  <si>
    <t xml:space="preserve">Durasi Paket (hari)</t>
  </si>
  <si>
    <t xml:space="preserve">Termasuk hari perjalanan</t>
  </si>
  <si>
    <t xml:space="preserve">Hari Muthowif Bertugas</t>
  </si>
  <si>
    <t xml:space="preserve">Biasanya durasi paket dikurangi 2</t>
  </si>
  <si>
    <t xml:space="preserve">Jumlah Hotel - Check-in</t>
  </si>
  <si>
    <t xml:space="preserve">Madinah &amp; Makkah = 2</t>
  </si>
  <si>
    <t xml:space="preserve">Jumlah Hotel - Check-out</t>
  </si>
  <si>
    <t xml:space="preserve">Kelas Katering</t>
  </si>
  <si>
    <t xml:space="preserve">Reguler</t>
  </si>
  <si>
    <t xml:space="preserve">Pilih: Reguler atau Premium</t>
  </si>
  <si>
    <t xml:space="preserve">Skenario Tips</t>
  </si>
  <si>
    <t xml:space="preserve">Standar</t>
  </si>
  <si>
    <t xml:space="preserve">Pilih: Standar atau Maksimal</t>
  </si>
  <si>
    <t xml:space="preserve">Overhead (%)</t>
  </si>
  <si>
    <t xml:space="preserve">Atribut, laundry, komunikasi, transport koordinasi</t>
  </si>
  <si>
    <t xml:space="preserve">Buffer Risiko (%)</t>
  </si>
  <si>
    <t xml:space="preserve">Delay, freelancer batal, nego tips gagal</t>
  </si>
  <si>
    <t xml:space="preserve">Target Margin (%)</t>
  </si>
  <si>
    <t xml:space="preserve">Margin yang diinginkan atas harga jual</t>
  </si>
  <si>
    <t xml:space="preserve">Kurs SAR ke IDR</t>
  </si>
  <si>
    <t xml:space="preserve">Cek ulang saat transaksi</t>
  </si>
  <si>
    <t xml:space="preserve">B.  PILIHAN LAYANAN  -  pilih YA/TIDAK dan isi Qty</t>
  </si>
  <si>
    <t xml:space="preserve">Aktif</t>
  </si>
  <si>
    <t xml:space="preserve">Rate (SAR)</t>
  </si>
  <si>
    <t xml:space="preserve">Subtotal (SAR)</t>
  </si>
  <si>
    <t xml:space="preserve">Per Pax</t>
  </si>
  <si>
    <t xml:space="preserve">HANDLING</t>
  </si>
  <si>
    <t xml:space="preserve">YA</t>
  </si>
  <si>
    <t xml:space="preserve">SUBTOTAL HANDLING</t>
  </si>
  <si>
    <t xml:space="preserve">MUTHOWIF</t>
  </si>
  <si>
    <t xml:space="preserve">Kursi Roda - Proses Umroh (sesi x jama'ah)</t>
  </si>
  <si>
    <t xml:space="preserve">TIDAK</t>
  </si>
  <si>
    <t xml:space="preserve">Kursi Roda - Harian (hari x jama'ah)</t>
  </si>
  <si>
    <t xml:space="preserve">SUBTOTAL MUTHOWIF</t>
  </si>
  <si>
    <t xml:space="preserve">KATERING &amp; SNACK</t>
  </si>
  <si>
    <t xml:space="preserve">Nasi Box (Bandara-Kota)</t>
  </si>
  <si>
    <t xml:space="preserve">Snack City Tour</t>
  </si>
  <si>
    <t xml:space="preserve">Snack Madinah-Makkah</t>
  </si>
  <si>
    <t xml:space="preserve">Welcoming Drink (zamzam + cup)</t>
  </si>
  <si>
    <t xml:space="preserve">SUBTOTAL KATERING &amp; SNACK</t>
  </si>
  <si>
    <t xml:space="preserve">TIP DRIVER BUS</t>
  </si>
  <si>
    <t xml:space="preserve">Tip Driver - City Tour</t>
  </si>
  <si>
    <t xml:space="preserve">SUBTOTAL TIP DRIVER BUS</t>
  </si>
  <si>
    <t xml:space="preserve">PHOTOGRAPHY</t>
  </si>
  <si>
    <t xml:space="preserve">Sesi Jabal Khandamah</t>
  </si>
  <si>
    <t xml:space="preserve">SUBTOTAL PHOTOGRAPHY</t>
  </si>
  <si>
    <t xml:space="preserve">PENDAMPINGAN &amp; KONSULTASI KESEHATAN</t>
  </si>
  <si>
    <t xml:space="preserve">Fee Tenaga Medis (per sesi)</t>
  </si>
  <si>
    <t xml:space="preserve">SUBTOTAL PENDAMPINGAN &amp; KONSULTASI KESEHATAN</t>
  </si>
  <si>
    <t xml:space="preserve">TAMBAHAN</t>
  </si>
  <si>
    <t xml:space="preserve">[Tambahan 1 - isi di sheet KATALOG]</t>
  </si>
  <si>
    <t xml:space="preserve">[Tambahan 2 - isi di sheet KATALOG]</t>
  </si>
  <si>
    <t xml:space="preserve">[Tambahan 3 - isi di sheet KATALOG]</t>
  </si>
  <si>
    <t xml:space="preserve">[Tambahan 4 - isi di sheet KATALOG]</t>
  </si>
  <si>
    <t xml:space="preserve">[Tambahan 5 - isi di sheet KATALOG]</t>
  </si>
  <si>
    <t xml:space="preserve">[Tambahan 6 - isi di sheet KATALOG]</t>
  </si>
  <si>
    <t xml:space="preserve">[Tambahan 7 - isi di sheet KATALOG]</t>
  </si>
  <si>
    <t xml:space="preserve">[Tambahan 8 - isi di sheet KATALOG]</t>
  </si>
  <si>
    <t xml:space="preserve">SUBTOTAL TAMBAHAN</t>
  </si>
  <si>
    <t xml:space="preserve">C.  REKAP COST &amp; HARGA JUAL</t>
  </si>
  <si>
    <t xml:space="preserve">Keterangan</t>
  </si>
  <si>
    <t xml:space="preserve">Total (SAR)</t>
  </si>
  <si>
    <t xml:space="preserve">Per Pax (SAR)</t>
  </si>
  <si>
    <t xml:space="preserve">DIRECT COST</t>
  </si>
  <si>
    <t xml:space="preserve">(+) Overhead</t>
  </si>
  <si>
    <t xml:space="preserve">(+) Buffer Risiko</t>
  </si>
  <si>
    <t xml:space="preserve">FULL COST</t>
  </si>
  <si>
    <t xml:space="preserve">HARGA JUAL (berdasarkan Target Margin di sel C15)</t>
  </si>
  <si>
    <t xml:space="preserve">HARGA JUAL</t>
  </si>
  <si>
    <t xml:space="preserve">PROFIT</t>
  </si>
  <si>
    <t xml:space="preserve">Margin Tercapai (kontrol)</t>
  </si>
  <si>
    <t xml:space="preserve">Markup atas Cost (kontrol)</t>
  </si>
  <si>
    <t xml:space="preserve">KONVERSI RUPIAH</t>
  </si>
  <si>
    <t xml:space="preserve">Full Cost (IDR)</t>
  </si>
  <si>
    <t xml:space="preserve">Harga Jual (IDR)</t>
  </si>
  <si>
    <t xml:space="preserve">Profit (IDR)</t>
  </si>
  <si>
    <t xml:space="preserve">D.  SKENARIO HARGA JUAL PER TARGET MARGIN</t>
  </si>
  <si>
    <t xml:space="preserve">Target Margin</t>
  </si>
  <si>
    <t xml:space="preserve">Harga Jual/Pax (SAR)</t>
  </si>
  <si>
    <t xml:space="preserve">Harga Jual/Pax (IDR)</t>
  </si>
  <si>
    <t xml:space="preserve">Profit/Pax (SAR)</t>
  </si>
  <si>
    <t xml:space="preserve">Profit Grup (SAR)</t>
  </si>
  <si>
    <t xml:space="preserve">DISTRIBUSI PROFIT</t>
  </si>
  <si>
    <t xml:space="preserve">Mengambil angka Profit dari sheet KALKULATOR (per 1 grup)</t>
  </si>
  <si>
    <t xml:space="preserve">A.  URUTAN PEMBAGIAN (per 1 grup)</t>
  </si>
  <si>
    <t xml:space="preserve">SAR</t>
  </si>
  <si>
    <t xml:space="preserve">IDR</t>
  </si>
  <si>
    <t xml:space="preserve">Profit Kotor (dari KALKULATOR)</t>
  </si>
  <si>
    <t xml:space="preserve">(-) Biaya di luar anggaran (legalitas, konsultan, marketing)</t>
  </si>
  <si>
    <t xml:space="preserve">PROFIT BERSIH OPERASIONAL</t>
  </si>
  <si>
    <t xml:space="preserve">(-) Gaji Direktur (35%)</t>
  </si>
  <si>
    <t xml:space="preserve">Laba Kena Pajak</t>
  </si>
  <si>
    <t xml:space="preserve">Tarif PPh Badan (%)</t>
  </si>
  <si>
    <t xml:space="preserve">Pasal 31E: 11% untuk omzet s/d Rp 4,8 M</t>
  </si>
  <si>
    <t xml:space="preserve">(-) PPh Badan</t>
  </si>
  <si>
    <t xml:space="preserve">LABA BERSIH</t>
  </si>
  <si>
    <t xml:space="preserve">B.  GAJI DIREKTUR (35% dari Profit Bersih Operasional)</t>
  </si>
  <si>
    <t xml:space="preserve">Personel / Jabatan</t>
  </si>
  <si>
    <t xml:space="preserve">Ocid - Dirut + Direktur LA</t>
  </si>
  <si>
    <t xml:space="preserve">Azzam - Dir. Handling + Dir. Marketing</t>
  </si>
  <si>
    <t xml:space="preserve">Andika - Direktur Keuangan</t>
  </si>
  <si>
    <t xml:space="preserve">TOTAL GAJI DIREKTUR</t>
  </si>
  <si>
    <t xml:space="preserve">C.  PEMBAGIAN LABA BERSIH</t>
  </si>
  <si>
    <t xml:space="preserve">Pos</t>
  </si>
  <si>
    <t xml:space="preserve">Tabungan / Dana Darurat (23%)</t>
  </si>
  <si>
    <t xml:space="preserve">Dividen Owner (77%) - dibagi tiap 6 bulan</t>
  </si>
  <si>
    <t xml:space="preserve">D.  PROYEKSI TAHUNAN</t>
  </si>
  <si>
    <t xml:space="preserve">Jumlah Grup per Bulan</t>
  </si>
  <si>
    <t xml:space="preserve">Jumlah Grup per Tahun</t>
  </si>
  <si>
    <t xml:space="preserve">Per Tahun (SAR)</t>
  </si>
  <si>
    <t xml:space="preserve">Per Tahun (IDR)</t>
  </si>
  <si>
    <t xml:space="preserve">Profit Bersih Operasional</t>
  </si>
  <si>
    <t xml:space="preserve">Gaji Ocid</t>
  </si>
  <si>
    <t xml:space="preserve">Gaji Azzam</t>
  </si>
  <si>
    <t xml:space="preserve">Gaji Andika</t>
  </si>
  <si>
    <t xml:space="preserve">PPh Badan</t>
  </si>
  <si>
    <t xml:space="preserve">Laba Bersih</t>
  </si>
  <si>
    <t xml:space="preserve">Tabungan</t>
  </si>
  <si>
    <t xml:space="preserve">Dividen Owner</t>
  </si>
  <si>
    <t xml:space="preserve">CATATAN:
1. Gaji Direktur diperlakukan sebagai BIAYA perusahaan, sehingga mengurangi laba kena pajak.
2. PPh Badan dihitung SEBELUM pembagian Tabungan &amp; Dividen. Ini mencegah kekurangan dana saat pembagian.
3. Proporsi Tabungan : Dividen = 23% : 77% (setara 15% : 50% dari profit sebelum pajak).
4. Biaya legalitas, administrasi PT, konsultan pajak, dan marketing diisi di baris 'Biaya di luar anggaran'.
5. Angka pajak di sini hanya estimasi kasar - wajib dikonfirmasi ke konsultan pajak.</t>
  </si>
</sst>
</file>

<file path=xl/styles.xml><?xml version="1.0" encoding="utf-8"?>
<styleSheet xmlns="http://schemas.openxmlformats.org/spreadsheetml/2006/main">
  <numFmts count="6">
    <numFmt numFmtId="164" formatCode="General"/>
    <numFmt numFmtId="165" formatCode="#,##0.00;\(#,##0.00\);\-"/>
    <numFmt numFmtId="166" formatCode="#,##0"/>
    <numFmt numFmtId="167" formatCode="0.0%"/>
    <numFmt numFmtId="168" formatCode="&quot;Rp &quot;#,##0;&quot;(Rp &quot;#,##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000066"/>
      <name val="Arial"/>
      <family val="0"/>
      <charset val="1"/>
    </font>
    <font>
      <b val="true"/>
      <sz val="11"/>
      <color rgb="FFC89D7C"/>
      <name val="Arial"/>
      <family val="0"/>
      <charset val="1"/>
    </font>
    <font>
      <i val="true"/>
      <sz val="10"/>
      <color rgb="FF808080"/>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color rgb="FF000066"/>
      <name val="Arial"/>
      <family val="0"/>
      <charset val="1"/>
    </font>
  </fonts>
  <fills count="9">
    <fill>
      <patternFill patternType="none"/>
    </fill>
    <fill>
      <patternFill patternType="gray125"/>
    </fill>
    <fill>
      <patternFill patternType="solid">
        <fgColor rgb="FF000066"/>
        <bgColor rgb="FF000080"/>
      </patternFill>
    </fill>
    <fill>
      <patternFill patternType="solid">
        <fgColor rgb="FFF2F2F2"/>
        <bgColor rgb="FFE8F0E3"/>
      </patternFill>
    </fill>
    <fill>
      <patternFill patternType="solid">
        <fgColor rgb="FFFFFF99"/>
        <bgColor rgb="FFE8F0E3"/>
      </patternFill>
    </fill>
    <fill>
      <patternFill patternType="solid">
        <fgColor rgb="FFDBDBDB"/>
        <bgColor rgb="FFE8F0E3"/>
      </patternFill>
    </fill>
    <fill>
      <patternFill patternType="solid">
        <fgColor rgb="FFC89D7C"/>
        <bgColor rgb="FFBFBFBF"/>
      </patternFill>
    </fill>
    <fill>
      <patternFill patternType="solid">
        <fgColor rgb="FF333366"/>
        <bgColor rgb="FF333333"/>
      </patternFill>
    </fill>
    <fill>
      <patternFill patternType="solid">
        <fgColor rgb="FFE8F0E3"/>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5" fontId="8" fillId="8"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8" fontId="8" fillId="8"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66"/>
      <rgbColor rgb="FF808000"/>
      <rgbColor rgb="FF800080"/>
      <rgbColor rgb="FF008080"/>
      <rgbColor rgb="FFBFBFBF"/>
      <rgbColor rgb="FF808080"/>
      <rgbColor rgb="FF9999FF"/>
      <rgbColor rgb="FF993366"/>
      <rgbColor rgb="FFF2F2F2"/>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E8F0E3"/>
      <rgbColor rgb="FFFFFF99"/>
      <rgbColor rgb="FF99CCFF"/>
      <rgbColor rgb="FFFF99CC"/>
      <rgbColor rgb="FFCC99FF"/>
      <rgbColor rgb="FFFFCC99"/>
      <rgbColor rgb="FF3366FF"/>
      <rgbColor rgb="FF33CCCC"/>
      <rgbColor rgb="FF99CC00"/>
      <rgbColor rgb="FFFFCC00"/>
      <rgbColor rgb="FFFF9900"/>
      <rgbColor rgb="FFFF6600"/>
      <rgbColor rgb="FF666699"/>
      <rgbColor rgb="FFC89D7C"/>
      <rgbColor rgb="FF003366"/>
      <rgbColor rgb="FF339966"/>
      <rgbColor rgb="FF003300"/>
      <rgbColor rgb="FF333300"/>
      <rgbColor rgb="FF993300"/>
      <rgbColor rgb="FF993366"/>
      <rgbColor rgb="FF3333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5"/>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row>
    <row r="7" customFormat="false" ht="23.85" hidden="false" customHeight="false" outlineLevel="0" collapsed="false">
      <c r="B7" s="6" t="s">
        <v>4</v>
      </c>
      <c r="C7" s="7" t="s">
        <v>5</v>
      </c>
    </row>
    <row r="8" customFormat="false" ht="15" hidden="false" customHeight="false" outlineLevel="0" collapsed="false">
      <c r="B8" s="6" t="s">
        <v>6</v>
      </c>
      <c r="C8" s="7" t="s">
        <v>7</v>
      </c>
    </row>
    <row r="9" customFormat="false" ht="15" hidden="false" customHeight="false" outlineLevel="0" collapsed="false">
      <c r="B9" s="6" t="s">
        <v>8</v>
      </c>
      <c r="C9" s="7" t="s">
        <v>9</v>
      </c>
    </row>
    <row r="10" customFormat="false" ht="15" hidden="false" customHeight="false" outlineLevel="0" collapsed="false">
      <c r="B10" s="6" t="s">
        <v>10</v>
      </c>
      <c r="C10" s="7" t="s">
        <v>11</v>
      </c>
    </row>
    <row r="11" customFormat="false" ht="15" hidden="false" customHeight="false" outlineLevel="0" collapsed="false">
      <c r="B11" s="6" t="s">
        <v>12</v>
      </c>
      <c r="C11" s="7" t="s">
        <v>13</v>
      </c>
    </row>
    <row r="12" customFormat="false" ht="15" hidden="false" customHeight="false" outlineLevel="0" collapsed="false">
      <c r="B12" s="6" t="s">
        <v>14</v>
      </c>
      <c r="C12" s="7" t="s">
        <v>15</v>
      </c>
    </row>
    <row r="14" customFormat="false" ht="15" hidden="false" customHeight="false" outlineLevel="0" collapsed="false">
      <c r="B14" s="4" t="s">
        <v>16</v>
      </c>
      <c r="C14" s="5"/>
    </row>
    <row r="15" customFormat="false" ht="15" hidden="false" customHeight="false" outlineLevel="0" collapsed="false">
      <c r="B15" s="8" t="s">
        <v>17</v>
      </c>
      <c r="C15" s="9" t="s">
        <v>18</v>
      </c>
    </row>
    <row r="16" customFormat="false" ht="15" hidden="false" customHeight="false" outlineLevel="0" collapsed="false">
      <c r="B16" s="10" t="s">
        <v>19</v>
      </c>
      <c r="C16" s="9" t="s">
        <v>20</v>
      </c>
    </row>
    <row r="17" customFormat="false" ht="15" hidden="false" customHeight="false" outlineLevel="0" collapsed="false">
      <c r="B17" s="9" t="s">
        <v>21</v>
      </c>
      <c r="C17" s="9" t="s">
        <v>22</v>
      </c>
    </row>
    <row r="18" customFormat="false" ht="15" hidden="false" customHeight="false" outlineLevel="0" collapsed="false">
      <c r="B18" s="11" t="s">
        <v>23</v>
      </c>
      <c r="C18" s="9" t="s">
        <v>24</v>
      </c>
    </row>
    <row r="19" customFormat="false" ht="15" hidden="false" customHeight="false" outlineLevel="0" collapsed="false">
      <c r="B19" s="12" t="s">
        <v>25</v>
      </c>
      <c r="C19" s="9" t="s">
        <v>26</v>
      </c>
    </row>
    <row r="21" customFormat="false" ht="15" hidden="false" customHeight="false" outlineLevel="0" collapsed="false">
      <c r="B21" s="4" t="s">
        <v>27</v>
      </c>
      <c r="C21" s="5"/>
    </row>
    <row r="22" customFormat="false" ht="15" hidden="false" customHeight="false" outlineLevel="0" collapsed="false">
      <c r="B22" s="6" t="s">
        <v>28</v>
      </c>
      <c r="C22" s="9" t="s">
        <v>29</v>
      </c>
    </row>
    <row r="23" customFormat="false" ht="15" hidden="false" customHeight="false" outlineLevel="0" collapsed="false">
      <c r="B23" s="6" t="s">
        <v>30</v>
      </c>
      <c r="C23" s="9" t="s">
        <v>31</v>
      </c>
    </row>
    <row r="24" customFormat="false" ht="15" hidden="false" customHeight="false" outlineLevel="0" collapsed="false">
      <c r="B24" s="6" t="s">
        <v>32</v>
      </c>
      <c r="C24" s="9" t="s">
        <v>33</v>
      </c>
    </row>
    <row r="26" customFormat="false" ht="15" hidden="false" customHeight="false" outlineLevel="0" collapsed="false">
      <c r="B26" s="4" t="s">
        <v>34</v>
      </c>
      <c r="C26" s="5"/>
    </row>
    <row r="27" customFormat="false" ht="27.75" hidden="false" customHeight="true" outlineLevel="0" collapsed="false">
      <c r="B27" s="13" t="s">
        <v>35</v>
      </c>
      <c r="C27" s="14" t="s">
        <v>36</v>
      </c>
    </row>
    <row r="28" customFormat="false" ht="27.75" hidden="false" customHeight="true" outlineLevel="0" collapsed="false">
      <c r="B28" s="13" t="s">
        <v>35</v>
      </c>
      <c r="C28" s="14" t="s">
        <v>37</v>
      </c>
    </row>
    <row r="29" customFormat="false" ht="27.75" hidden="false" customHeight="true" outlineLevel="0" collapsed="false">
      <c r="B29" s="13" t="s">
        <v>35</v>
      </c>
      <c r="C29" s="14" t="s">
        <v>38</v>
      </c>
    </row>
    <row r="30" customFormat="false" ht="27.75" hidden="false" customHeight="true" outlineLevel="0" collapsed="false">
      <c r="B30" s="13" t="s">
        <v>35</v>
      </c>
      <c r="C30" s="14" t="s">
        <v>39</v>
      </c>
    </row>
    <row r="31" customFormat="false" ht="27.75" hidden="false" customHeight="true" outlineLevel="0" collapsed="false">
      <c r="B31" s="13" t="s">
        <v>35</v>
      </c>
      <c r="C31" s="14"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44"/>
    <col collapsed="false" customWidth="true" hidden="false" outlineLevel="0" max="4" min="4" style="0" width="10"/>
    <col collapsed="false" customWidth="true" hidden="false" outlineLevel="0" max="7" min="5" style="0" width="14"/>
    <col collapsed="false" customWidth="true" hidden="false" outlineLevel="0" max="8" min="8" style="0" width="40"/>
  </cols>
  <sheetData>
    <row r="2" customFormat="false" ht="19.7" hidden="false" customHeight="false" outlineLevel="0" collapsed="false">
      <c r="B2" s="1" t="s">
        <v>41</v>
      </c>
    </row>
    <row r="3" customFormat="false" ht="15" hidden="false" customHeight="false" outlineLevel="0" collapsed="false">
      <c r="B3" s="3" t="s">
        <v>42</v>
      </c>
    </row>
    <row r="5" customFormat="false" ht="15" hidden="false" customHeight="false" outlineLevel="0" collapsed="false">
      <c r="B5" s="15" t="s">
        <v>43</v>
      </c>
      <c r="C5" s="15" t="s">
        <v>44</v>
      </c>
      <c r="D5" s="15" t="s">
        <v>45</v>
      </c>
      <c r="E5" s="15" t="s">
        <v>46</v>
      </c>
      <c r="F5" s="15" t="s">
        <v>47</v>
      </c>
      <c r="G5" s="15" t="s">
        <v>48</v>
      </c>
      <c r="H5" s="15" t="s">
        <v>49</v>
      </c>
    </row>
    <row r="6" customFormat="false" ht="15" hidden="false" customHeight="false" outlineLevel="0" collapsed="false">
      <c r="B6" s="16" t="s">
        <v>50</v>
      </c>
      <c r="C6" s="16"/>
      <c r="D6" s="16"/>
      <c r="E6" s="16"/>
      <c r="F6" s="16"/>
      <c r="G6" s="16"/>
      <c r="H6" s="16"/>
    </row>
    <row r="7" customFormat="false" ht="15" hidden="false" customHeight="false" outlineLevel="0" collapsed="false">
      <c r="B7" s="17" t="s">
        <v>51</v>
      </c>
      <c r="C7" s="9" t="s">
        <v>52</v>
      </c>
      <c r="D7" s="18" t="s">
        <v>30</v>
      </c>
      <c r="E7" s="19" t="n">
        <v>200</v>
      </c>
      <c r="F7" s="19" t="n">
        <v>200</v>
      </c>
      <c r="G7" s="20" t="n">
        <f aca="false">IF(KALKULATOR!$C$12="Maksimal",F7,E7)</f>
        <v>200</v>
      </c>
      <c r="H7" s="21" t="s">
        <v>53</v>
      </c>
    </row>
    <row r="8" customFormat="false" ht="15" hidden="false" customHeight="false" outlineLevel="0" collapsed="false">
      <c r="B8" s="17" t="s">
        <v>54</v>
      </c>
      <c r="C8" s="9" t="s">
        <v>55</v>
      </c>
      <c r="D8" s="18" t="s">
        <v>30</v>
      </c>
      <c r="E8" s="19" t="n">
        <v>260</v>
      </c>
      <c r="F8" s="19" t="n">
        <v>260</v>
      </c>
      <c r="G8" s="20" t="n">
        <f aca="false">IF(KALKULATOR!$C$12="Maksimal",F8,E8)</f>
        <v>260</v>
      </c>
      <c r="H8" s="21" t="s">
        <v>53</v>
      </c>
    </row>
    <row r="9" customFormat="false" ht="15" hidden="false" customHeight="false" outlineLevel="0" collapsed="false">
      <c r="B9" s="17" t="s">
        <v>56</v>
      </c>
      <c r="C9" s="9" t="s">
        <v>57</v>
      </c>
      <c r="D9" s="18" t="s">
        <v>28</v>
      </c>
      <c r="E9" s="19" t="n">
        <v>20</v>
      </c>
      <c r="F9" s="19" t="n">
        <v>20</v>
      </c>
      <c r="G9" s="20" t="n">
        <f aca="false">IF(KALKULATOR!$C$12="Maksimal",F9,E9)</f>
        <v>20</v>
      </c>
      <c r="H9" s="21" t="s">
        <v>58</v>
      </c>
    </row>
    <row r="10" customFormat="false" ht="15" hidden="false" customHeight="false" outlineLevel="0" collapsed="false">
      <c r="B10" s="17" t="s">
        <v>59</v>
      </c>
      <c r="C10" s="9" t="s">
        <v>60</v>
      </c>
      <c r="D10" s="18" t="s">
        <v>30</v>
      </c>
      <c r="E10" s="19" t="n">
        <v>20</v>
      </c>
      <c r="F10" s="19" t="n">
        <v>50</v>
      </c>
      <c r="G10" s="20" t="n">
        <f aca="false">IF(KALKULATOR!$C$12="Maksimal",F10,E10)</f>
        <v>20</v>
      </c>
      <c r="H10" s="21" t="s">
        <v>61</v>
      </c>
    </row>
    <row r="11" customFormat="false" ht="15" hidden="false" customHeight="false" outlineLevel="0" collapsed="false">
      <c r="B11" s="17" t="s">
        <v>62</v>
      </c>
      <c r="C11" s="9" t="s">
        <v>63</v>
      </c>
      <c r="D11" s="18" t="s">
        <v>30</v>
      </c>
      <c r="E11" s="19" t="n">
        <v>250</v>
      </c>
      <c r="F11" s="19" t="n">
        <v>250</v>
      </c>
      <c r="G11" s="20" t="n">
        <f aca="false">IF(KALKULATOR!$C$12="Maksimal",F11,E11)</f>
        <v>250</v>
      </c>
      <c r="H11" s="21" t="s">
        <v>64</v>
      </c>
    </row>
    <row r="12" customFormat="false" ht="15" hidden="false" customHeight="false" outlineLevel="0" collapsed="false">
      <c r="B12" s="17" t="s">
        <v>65</v>
      </c>
      <c r="C12" s="9" t="s">
        <v>66</v>
      </c>
      <c r="D12" s="18" t="s">
        <v>30</v>
      </c>
      <c r="E12" s="19" t="n">
        <v>70</v>
      </c>
      <c r="F12" s="19" t="n">
        <v>100</v>
      </c>
      <c r="G12" s="20" t="n">
        <f aca="false">IF(KALKULATOR!$C$12="Maksimal",F12,E12)</f>
        <v>70</v>
      </c>
      <c r="H12" s="21" t="s">
        <v>67</v>
      </c>
    </row>
    <row r="13" customFormat="false" ht="15" hidden="false" customHeight="false" outlineLevel="0" collapsed="false">
      <c r="B13" s="17" t="s">
        <v>68</v>
      </c>
      <c r="C13" s="9" t="s">
        <v>69</v>
      </c>
      <c r="D13" s="18" t="s">
        <v>30</v>
      </c>
      <c r="E13" s="19" t="n">
        <v>200</v>
      </c>
      <c r="F13" s="19" t="n">
        <v>200</v>
      </c>
      <c r="G13" s="20" t="n">
        <f aca="false">IF(KALKULATOR!$C$12="Maksimal",F13,E13)</f>
        <v>200</v>
      </c>
      <c r="H13" s="21" t="s">
        <v>64</v>
      </c>
    </row>
    <row r="14" customFormat="false" ht="15" hidden="false" customHeight="false" outlineLevel="0" collapsed="false">
      <c r="B14" s="17" t="s">
        <v>70</v>
      </c>
      <c r="C14" s="9" t="s">
        <v>71</v>
      </c>
      <c r="D14" s="18" t="s">
        <v>30</v>
      </c>
      <c r="E14" s="19" t="n">
        <v>80</v>
      </c>
      <c r="F14" s="19" t="n">
        <v>150</v>
      </c>
      <c r="G14" s="20" t="n">
        <f aca="false">IF(KALKULATOR!$C$12="Maksimal",F14,E14)</f>
        <v>80</v>
      </c>
      <c r="H14" s="21" t="s">
        <v>67</v>
      </c>
    </row>
    <row r="15" customFormat="false" ht="15" hidden="false" customHeight="false" outlineLevel="0" collapsed="false">
      <c r="B15" s="17" t="s">
        <v>72</v>
      </c>
      <c r="C15" s="9" t="s">
        <v>73</v>
      </c>
      <c r="D15" s="18" t="s">
        <v>30</v>
      </c>
      <c r="E15" s="19" t="n">
        <v>20</v>
      </c>
      <c r="F15" s="19" t="n">
        <v>50</v>
      </c>
      <c r="G15" s="20" t="n">
        <f aca="false">IF(KALKULATOR!$C$12="Maksimal",F15,E15)</f>
        <v>20</v>
      </c>
      <c r="H15" s="21" t="s">
        <v>74</v>
      </c>
    </row>
    <row r="16" customFormat="false" ht="15" hidden="false" customHeight="false" outlineLevel="0" collapsed="false">
      <c r="B16" s="17" t="s">
        <v>75</v>
      </c>
      <c r="C16" s="9" t="s">
        <v>76</v>
      </c>
      <c r="D16" s="18" t="s">
        <v>30</v>
      </c>
      <c r="E16" s="19" t="n">
        <v>250</v>
      </c>
      <c r="F16" s="19" t="n">
        <v>250</v>
      </c>
      <c r="G16" s="20" t="n">
        <f aca="false">IF(KALKULATOR!$C$12="Maksimal",F16,E16)</f>
        <v>250</v>
      </c>
      <c r="H16" s="21" t="s">
        <v>53</v>
      </c>
    </row>
    <row r="17" customFormat="false" ht="15" hidden="false" customHeight="false" outlineLevel="0" collapsed="false">
      <c r="B17" s="17" t="s">
        <v>77</v>
      </c>
      <c r="C17" s="9" t="s">
        <v>78</v>
      </c>
      <c r="D17" s="18" t="s">
        <v>30</v>
      </c>
      <c r="E17" s="19" t="n">
        <v>260</v>
      </c>
      <c r="F17" s="19" t="n">
        <v>260</v>
      </c>
      <c r="G17" s="20" t="n">
        <f aca="false">IF(KALKULATOR!$C$12="Maksimal",F17,E17)</f>
        <v>260</v>
      </c>
      <c r="H17" s="21" t="s">
        <v>53</v>
      </c>
    </row>
    <row r="18" customFormat="false" ht="15" hidden="false" customHeight="false" outlineLevel="0" collapsed="false">
      <c r="B18" s="17" t="s">
        <v>79</v>
      </c>
      <c r="C18" s="9" t="s">
        <v>80</v>
      </c>
      <c r="D18" s="18" t="s">
        <v>28</v>
      </c>
      <c r="E18" s="19" t="n">
        <v>20</v>
      </c>
      <c r="F18" s="19" t="n">
        <v>20</v>
      </c>
      <c r="G18" s="20" t="n">
        <f aca="false">IF(KALKULATOR!$C$12="Maksimal",F18,E18)</f>
        <v>20</v>
      </c>
      <c r="H18" s="21" t="s">
        <v>58</v>
      </c>
    </row>
    <row r="19" customFormat="false" ht="15" hidden="false" customHeight="false" outlineLevel="0" collapsed="false">
      <c r="B19" s="17" t="s">
        <v>81</v>
      </c>
      <c r="C19" s="9" t="s">
        <v>82</v>
      </c>
      <c r="D19" s="18" t="s">
        <v>30</v>
      </c>
      <c r="E19" s="19" t="n">
        <v>20</v>
      </c>
      <c r="F19" s="19" t="n">
        <v>20</v>
      </c>
      <c r="G19" s="20" t="n">
        <f aca="false">IF(KALKULATOR!$C$12="Maksimal",F19,E19)</f>
        <v>20</v>
      </c>
      <c r="H19" s="21" t="s">
        <v>83</v>
      </c>
    </row>
    <row r="20" customFormat="false" ht="15" hidden="false" customHeight="false" outlineLevel="0" collapsed="false">
      <c r="B20" s="16" t="s">
        <v>84</v>
      </c>
      <c r="C20" s="16"/>
      <c r="D20" s="16"/>
      <c r="E20" s="16"/>
      <c r="F20" s="16"/>
      <c r="G20" s="16"/>
      <c r="H20" s="16"/>
    </row>
    <row r="21" customFormat="false" ht="15" hidden="false" customHeight="false" outlineLevel="0" collapsed="false">
      <c r="B21" s="17" t="s">
        <v>85</v>
      </c>
      <c r="C21" s="9" t="s">
        <v>86</v>
      </c>
      <c r="D21" s="18" t="s">
        <v>30</v>
      </c>
      <c r="E21" s="19" t="n">
        <v>250</v>
      </c>
      <c r="F21" s="19" t="n">
        <v>250</v>
      </c>
      <c r="G21" s="20" t="n">
        <f aca="false">IF(KALKULATOR!$C$12="Maksimal",F21,E21)</f>
        <v>250</v>
      </c>
      <c r="H21" s="21" t="s">
        <v>87</v>
      </c>
    </row>
    <row r="22" customFormat="false" ht="15" hidden="false" customHeight="false" outlineLevel="0" collapsed="false">
      <c r="B22" s="17" t="s">
        <v>88</v>
      </c>
      <c r="C22" s="9" t="s">
        <v>89</v>
      </c>
      <c r="D22" s="18" t="s">
        <v>30</v>
      </c>
      <c r="E22" s="19" t="n">
        <v>300</v>
      </c>
      <c r="F22" s="19" t="n">
        <v>300</v>
      </c>
      <c r="G22" s="20" t="n">
        <f aca="false">IF(KALKULATOR!$C$12="Maksimal",F22,E22)</f>
        <v>300</v>
      </c>
      <c r="H22" s="21" t="s">
        <v>90</v>
      </c>
    </row>
    <row r="23" customFormat="false" ht="15" hidden="false" customHeight="false" outlineLevel="0" collapsed="false">
      <c r="B23" s="17" t="s">
        <v>91</v>
      </c>
      <c r="C23" s="9" t="s">
        <v>92</v>
      </c>
      <c r="D23" s="18" t="s">
        <v>30</v>
      </c>
      <c r="E23" s="19" t="n">
        <v>200</v>
      </c>
      <c r="F23" s="19" t="n">
        <v>200</v>
      </c>
      <c r="G23" s="20" t="n">
        <f aca="false">IF(KALKULATOR!$C$12="Maksimal",F23,E23)</f>
        <v>200</v>
      </c>
      <c r="H23" s="21" t="s">
        <v>93</v>
      </c>
    </row>
    <row r="24" customFormat="false" ht="15" hidden="false" customHeight="false" outlineLevel="0" collapsed="false">
      <c r="B24" s="17" t="s">
        <v>94</v>
      </c>
      <c r="C24" s="9" t="s">
        <v>95</v>
      </c>
      <c r="D24" s="18" t="s">
        <v>30</v>
      </c>
      <c r="E24" s="19" t="n">
        <v>250</v>
      </c>
      <c r="F24" s="19" t="n">
        <v>250</v>
      </c>
      <c r="G24" s="20" t="n">
        <f aca="false">IF(KALKULATOR!$C$12="Maksimal",F24,E24)</f>
        <v>250</v>
      </c>
      <c r="H24" s="21" t="s">
        <v>96</v>
      </c>
    </row>
    <row r="25" customFormat="false" ht="15" hidden="false" customHeight="false" outlineLevel="0" collapsed="false">
      <c r="B25" s="17" t="s">
        <v>97</v>
      </c>
      <c r="C25" s="9" t="s">
        <v>98</v>
      </c>
      <c r="D25" s="18" t="s">
        <v>30</v>
      </c>
      <c r="E25" s="19" t="n">
        <v>250</v>
      </c>
      <c r="F25" s="19" t="n">
        <v>250</v>
      </c>
      <c r="G25" s="20" t="n">
        <f aca="false">IF(KALKULATOR!$C$12="Maksimal",F25,E25)</f>
        <v>250</v>
      </c>
      <c r="H25" s="21" t="s">
        <v>99</v>
      </c>
    </row>
    <row r="26" customFormat="false" ht="15" hidden="false" customHeight="false" outlineLevel="0" collapsed="false">
      <c r="B26" s="16" t="s">
        <v>100</v>
      </c>
      <c r="C26" s="16"/>
      <c r="D26" s="16"/>
      <c r="E26" s="16"/>
      <c r="F26" s="16"/>
      <c r="G26" s="16"/>
      <c r="H26" s="16"/>
    </row>
    <row r="27" customFormat="false" ht="15" hidden="false" customHeight="false" outlineLevel="0" collapsed="false">
      <c r="B27" s="17" t="s">
        <v>101</v>
      </c>
      <c r="C27" s="9" t="s">
        <v>102</v>
      </c>
      <c r="D27" s="18" t="s">
        <v>28</v>
      </c>
      <c r="E27" s="19" t="n">
        <v>15</v>
      </c>
      <c r="F27" s="19" t="n">
        <v>15</v>
      </c>
      <c r="G27" s="20" t="n">
        <f aca="false">IF(KALKULATOR!$C$12="Maksimal",F27,E27)</f>
        <v>15</v>
      </c>
      <c r="H27" s="21" t="s">
        <v>103</v>
      </c>
    </row>
    <row r="28" customFormat="false" ht="15" hidden="false" customHeight="false" outlineLevel="0" collapsed="false">
      <c r="B28" s="17" t="s">
        <v>104</v>
      </c>
      <c r="C28" s="9" t="s">
        <v>105</v>
      </c>
      <c r="D28" s="18" t="s">
        <v>28</v>
      </c>
      <c r="E28" s="19" t="n">
        <v>20</v>
      </c>
      <c r="F28" s="19" t="n">
        <v>20</v>
      </c>
      <c r="G28" s="20" t="n">
        <f aca="false">IF(KALKULATOR!$C$12="Maksimal",F28,E28)</f>
        <v>20</v>
      </c>
      <c r="H28" s="21" t="s">
        <v>103</v>
      </c>
    </row>
    <row r="29" customFormat="false" ht="15" hidden="false" customHeight="false" outlineLevel="0" collapsed="false">
      <c r="B29" s="17" t="s">
        <v>106</v>
      </c>
      <c r="C29" s="9" t="s">
        <v>107</v>
      </c>
      <c r="D29" s="18" t="s">
        <v>28</v>
      </c>
      <c r="E29" s="19" t="n">
        <v>6.5</v>
      </c>
      <c r="F29" s="19" t="n">
        <v>6.5</v>
      </c>
      <c r="G29" s="20" t="n">
        <f aca="false">IF(KALKULATOR!$C$12="Maksimal",F29,E29)</f>
        <v>6.5</v>
      </c>
      <c r="H29" s="21" t="s">
        <v>108</v>
      </c>
    </row>
    <row r="30" customFormat="false" ht="15" hidden="false" customHeight="false" outlineLevel="0" collapsed="false">
      <c r="B30" s="17" t="s">
        <v>109</v>
      </c>
      <c r="C30" s="9" t="s">
        <v>110</v>
      </c>
      <c r="D30" s="18" t="s">
        <v>28</v>
      </c>
      <c r="E30" s="19" t="n">
        <v>10</v>
      </c>
      <c r="F30" s="19" t="n">
        <v>10</v>
      </c>
      <c r="G30" s="20" t="n">
        <f aca="false">IF(KALKULATOR!$C$12="Maksimal",F30,E30)</f>
        <v>10</v>
      </c>
      <c r="H30" s="21" t="s">
        <v>108</v>
      </c>
    </row>
    <row r="31" customFormat="false" ht="15" hidden="false" customHeight="false" outlineLevel="0" collapsed="false">
      <c r="B31" s="17" t="s">
        <v>111</v>
      </c>
      <c r="C31" s="9" t="s">
        <v>112</v>
      </c>
      <c r="D31" s="18" t="s">
        <v>28</v>
      </c>
      <c r="E31" s="19" t="n">
        <v>8</v>
      </c>
      <c r="F31" s="19" t="n">
        <v>8</v>
      </c>
      <c r="G31" s="20" t="n">
        <f aca="false">IF(KALKULATOR!$C$12="Maksimal",F31,E31)</f>
        <v>8</v>
      </c>
      <c r="H31" s="21" t="s">
        <v>113</v>
      </c>
    </row>
    <row r="32" customFormat="false" ht="15" hidden="false" customHeight="false" outlineLevel="0" collapsed="false">
      <c r="B32" s="17" t="s">
        <v>114</v>
      </c>
      <c r="C32" s="9" t="s">
        <v>115</v>
      </c>
      <c r="D32" s="18" t="s">
        <v>28</v>
      </c>
      <c r="E32" s="19" t="n">
        <v>12</v>
      </c>
      <c r="F32" s="19" t="n">
        <v>12</v>
      </c>
      <c r="G32" s="20" t="n">
        <f aca="false">IF(KALKULATOR!$C$12="Maksimal",F32,E32)</f>
        <v>12</v>
      </c>
      <c r="H32" s="21" t="s">
        <v>113</v>
      </c>
    </row>
    <row r="33" customFormat="false" ht="15" hidden="false" customHeight="false" outlineLevel="0" collapsed="false">
      <c r="B33" s="17" t="s">
        <v>116</v>
      </c>
      <c r="C33" s="9" t="s">
        <v>117</v>
      </c>
      <c r="D33" s="18" t="s">
        <v>28</v>
      </c>
      <c r="E33" s="19" t="n">
        <v>12.5</v>
      </c>
      <c r="F33" s="19" t="n">
        <v>12.5</v>
      </c>
      <c r="G33" s="20" t="n">
        <f aca="false">IF(KALKULATOR!$C$12="Maksimal",F33,E33)</f>
        <v>12.5</v>
      </c>
      <c r="H33" s="21" t="s">
        <v>118</v>
      </c>
    </row>
    <row r="34" customFormat="false" ht="15" hidden="false" customHeight="false" outlineLevel="0" collapsed="false">
      <c r="B34" s="17" t="s">
        <v>119</v>
      </c>
      <c r="C34" s="9" t="s">
        <v>120</v>
      </c>
      <c r="D34" s="18" t="s">
        <v>28</v>
      </c>
      <c r="E34" s="19" t="n">
        <v>25</v>
      </c>
      <c r="F34" s="19" t="n">
        <v>25</v>
      </c>
      <c r="G34" s="20" t="n">
        <f aca="false">IF(KALKULATOR!$C$12="Maksimal",F34,E34)</f>
        <v>25</v>
      </c>
      <c r="H34" s="21" t="s">
        <v>121</v>
      </c>
    </row>
    <row r="35" customFormat="false" ht="15" hidden="false" customHeight="false" outlineLevel="0" collapsed="false">
      <c r="B35" s="17" t="s">
        <v>122</v>
      </c>
      <c r="C35" s="9" t="s">
        <v>123</v>
      </c>
      <c r="D35" s="18" t="s">
        <v>30</v>
      </c>
      <c r="E35" s="19" t="n">
        <v>22.5</v>
      </c>
      <c r="F35" s="19" t="n">
        <v>22.5</v>
      </c>
      <c r="G35" s="20" t="n">
        <f aca="false">IF(KALKULATOR!$C$12="Maksimal",F35,E35)</f>
        <v>22.5</v>
      </c>
      <c r="H35" s="21" t="s">
        <v>124</v>
      </c>
    </row>
    <row r="36" customFormat="false" ht="15" hidden="false" customHeight="false" outlineLevel="0" collapsed="false">
      <c r="B36" s="16" t="s">
        <v>125</v>
      </c>
      <c r="C36" s="16"/>
      <c r="D36" s="16"/>
      <c r="E36" s="16"/>
      <c r="F36" s="16"/>
      <c r="G36" s="16"/>
      <c r="H36" s="16"/>
    </row>
    <row r="37" customFormat="false" ht="15" hidden="false" customHeight="false" outlineLevel="0" collapsed="false">
      <c r="B37" s="17" t="s">
        <v>126</v>
      </c>
      <c r="C37" s="9" t="s">
        <v>127</v>
      </c>
      <c r="D37" s="18" t="s">
        <v>30</v>
      </c>
      <c r="E37" s="19" t="n">
        <v>100</v>
      </c>
      <c r="F37" s="19" t="n">
        <v>100</v>
      </c>
      <c r="G37" s="20" t="n">
        <f aca="false">IF(KALKULATOR!$C$12="Maksimal",F37,E37)</f>
        <v>100</v>
      </c>
      <c r="H37" s="21" t="s">
        <v>128</v>
      </c>
    </row>
    <row r="38" customFormat="false" ht="15" hidden="false" customHeight="false" outlineLevel="0" collapsed="false">
      <c r="B38" s="17" t="s">
        <v>129</v>
      </c>
      <c r="C38" s="9" t="s">
        <v>130</v>
      </c>
      <c r="D38" s="18" t="s">
        <v>30</v>
      </c>
      <c r="E38" s="19" t="n">
        <v>50</v>
      </c>
      <c r="F38" s="19" t="n">
        <v>50</v>
      </c>
      <c r="G38" s="20" t="n">
        <f aca="false">IF(KALKULATOR!$C$12="Maksimal",F38,E38)</f>
        <v>50</v>
      </c>
      <c r="H38" s="21" t="s">
        <v>108</v>
      </c>
    </row>
    <row r="39" customFormat="false" ht="15" hidden="false" customHeight="false" outlineLevel="0" collapsed="false">
      <c r="B39" s="17" t="s">
        <v>131</v>
      </c>
      <c r="C39" s="9" t="s">
        <v>132</v>
      </c>
      <c r="D39" s="18" t="s">
        <v>30</v>
      </c>
      <c r="E39" s="19" t="n">
        <v>100</v>
      </c>
      <c r="F39" s="19" t="n">
        <v>100</v>
      </c>
      <c r="G39" s="20" t="n">
        <f aca="false">IF(KALKULATOR!$C$12="Maksimal",F39,E39)</f>
        <v>100</v>
      </c>
      <c r="H39" s="21" t="s">
        <v>113</v>
      </c>
    </row>
    <row r="40" customFormat="false" ht="15" hidden="false" customHeight="false" outlineLevel="0" collapsed="false">
      <c r="B40" s="17" t="s">
        <v>133</v>
      </c>
      <c r="C40" s="9" t="s">
        <v>134</v>
      </c>
      <c r="D40" s="18" t="s">
        <v>30</v>
      </c>
      <c r="E40" s="19" t="n">
        <v>100</v>
      </c>
      <c r="F40" s="19" t="n">
        <v>100</v>
      </c>
      <c r="G40" s="20" t="n">
        <f aca="false">IF(KALKULATOR!$C$12="Maksimal",F40,E40)</f>
        <v>100</v>
      </c>
      <c r="H40" s="21" t="s">
        <v>128</v>
      </c>
    </row>
    <row r="41" customFormat="false" ht="15" hidden="false" customHeight="false" outlineLevel="0" collapsed="false">
      <c r="B41" s="16" t="s">
        <v>135</v>
      </c>
      <c r="C41" s="16"/>
      <c r="D41" s="16"/>
      <c r="E41" s="16"/>
      <c r="F41" s="16"/>
      <c r="G41" s="16"/>
      <c r="H41" s="16"/>
    </row>
    <row r="42" customFormat="false" ht="15" hidden="false" customHeight="false" outlineLevel="0" collapsed="false">
      <c r="B42" s="17" t="s">
        <v>136</v>
      </c>
      <c r="C42" s="9" t="s">
        <v>137</v>
      </c>
      <c r="D42" s="18" t="s">
        <v>30</v>
      </c>
      <c r="E42" s="19" t="n">
        <v>230</v>
      </c>
      <c r="F42" s="19" t="n">
        <v>230</v>
      </c>
      <c r="G42" s="20" t="n">
        <f aca="false">IF(KALKULATOR!$C$12="Maksimal",F42,E42)</f>
        <v>230</v>
      </c>
      <c r="H42" s="21" t="s">
        <v>108</v>
      </c>
    </row>
    <row r="43" customFormat="false" ht="15" hidden="false" customHeight="false" outlineLevel="0" collapsed="false">
      <c r="B43" s="17" t="s">
        <v>138</v>
      </c>
      <c r="C43" s="9" t="s">
        <v>139</v>
      </c>
      <c r="D43" s="18" t="s">
        <v>30</v>
      </c>
      <c r="E43" s="19" t="n">
        <v>250</v>
      </c>
      <c r="F43" s="19" t="n">
        <v>250</v>
      </c>
      <c r="G43" s="20" t="n">
        <f aca="false">IF(KALKULATOR!$C$12="Maksimal",F43,E43)</f>
        <v>250</v>
      </c>
      <c r="H43" s="21" t="s">
        <v>108</v>
      </c>
    </row>
    <row r="44" customFormat="false" ht="15" hidden="false" customHeight="false" outlineLevel="0" collapsed="false">
      <c r="B44" s="17" t="s">
        <v>140</v>
      </c>
      <c r="C44" s="9" t="s">
        <v>141</v>
      </c>
      <c r="D44" s="18" t="s">
        <v>30</v>
      </c>
      <c r="E44" s="19" t="n">
        <v>280</v>
      </c>
      <c r="F44" s="19" t="n">
        <v>280</v>
      </c>
      <c r="G44" s="20" t="n">
        <f aca="false">IF(KALKULATOR!$C$12="Maksimal",F44,E44)</f>
        <v>280</v>
      </c>
      <c r="H44" s="21" t="s">
        <v>108</v>
      </c>
    </row>
    <row r="45" customFormat="false" ht="15" hidden="false" customHeight="false" outlineLevel="0" collapsed="false">
      <c r="B45" s="17" t="s">
        <v>142</v>
      </c>
      <c r="C45" s="9" t="s">
        <v>143</v>
      </c>
      <c r="D45" s="18" t="s">
        <v>30</v>
      </c>
      <c r="E45" s="19" t="n">
        <v>50</v>
      </c>
      <c r="F45" s="19" t="n">
        <v>50</v>
      </c>
      <c r="G45" s="20" t="n">
        <f aca="false">IF(KALKULATOR!$C$12="Maksimal",F45,E45)</f>
        <v>50</v>
      </c>
      <c r="H45" s="21" t="s">
        <v>144</v>
      </c>
    </row>
    <row r="46" customFormat="false" ht="15" hidden="false" customHeight="false" outlineLevel="0" collapsed="false">
      <c r="B46" s="16" t="s">
        <v>145</v>
      </c>
      <c r="C46" s="16"/>
      <c r="D46" s="16"/>
      <c r="E46" s="16"/>
      <c r="F46" s="16"/>
      <c r="G46" s="16"/>
      <c r="H46" s="16"/>
    </row>
    <row r="47" customFormat="false" ht="15" hidden="false" customHeight="false" outlineLevel="0" collapsed="false">
      <c r="B47" s="17" t="s">
        <v>146</v>
      </c>
      <c r="C47" s="9" t="s">
        <v>147</v>
      </c>
      <c r="D47" s="18" t="s">
        <v>30</v>
      </c>
      <c r="E47" s="19" t="n">
        <v>500</v>
      </c>
      <c r="F47" s="19" t="n">
        <v>500</v>
      </c>
      <c r="G47" s="20" t="n">
        <f aca="false">IF(KALKULATOR!$C$12="Maksimal",F47,E47)</f>
        <v>500</v>
      </c>
      <c r="H47" s="21" t="s">
        <v>148</v>
      </c>
    </row>
    <row r="48" customFormat="false" ht="15" hidden="false" customHeight="false" outlineLevel="0" collapsed="false">
      <c r="B48" s="16" t="s">
        <v>149</v>
      </c>
      <c r="C48" s="16"/>
      <c r="D48" s="16"/>
      <c r="E48" s="16"/>
      <c r="F48" s="16"/>
      <c r="G48" s="16"/>
      <c r="H48" s="16"/>
    </row>
    <row r="49" customFormat="false" ht="15" hidden="false" customHeight="false" outlineLevel="0" collapsed="false">
      <c r="B49" s="17" t="s">
        <v>150</v>
      </c>
      <c r="C49" s="8"/>
      <c r="D49" s="18" t="s">
        <v>30</v>
      </c>
      <c r="E49" s="19" t="n">
        <v>0</v>
      </c>
      <c r="F49" s="19" t="n">
        <v>0</v>
      </c>
      <c r="G49" s="20" t="n">
        <f aca="false">IF(KALKULATOR!$C$12="Maksimal",F49,E49)</f>
        <v>0</v>
      </c>
      <c r="H49" s="21"/>
    </row>
    <row r="50" customFormat="false" ht="15" hidden="false" customHeight="false" outlineLevel="0" collapsed="false">
      <c r="B50" s="17" t="s">
        <v>151</v>
      </c>
      <c r="C50" s="8"/>
      <c r="D50" s="18" t="s">
        <v>30</v>
      </c>
      <c r="E50" s="19" t="n">
        <v>0</v>
      </c>
      <c r="F50" s="19" t="n">
        <v>0</v>
      </c>
      <c r="G50" s="20" t="n">
        <f aca="false">IF(KALKULATOR!$C$12="Maksimal",F50,E50)</f>
        <v>0</v>
      </c>
      <c r="H50" s="21"/>
    </row>
    <row r="51" customFormat="false" ht="15" hidden="false" customHeight="false" outlineLevel="0" collapsed="false">
      <c r="B51" s="17" t="s">
        <v>152</v>
      </c>
      <c r="C51" s="8"/>
      <c r="D51" s="18" t="s">
        <v>30</v>
      </c>
      <c r="E51" s="19" t="n">
        <v>0</v>
      </c>
      <c r="F51" s="19" t="n">
        <v>0</v>
      </c>
      <c r="G51" s="20" t="n">
        <f aca="false">IF(KALKULATOR!$C$12="Maksimal",F51,E51)</f>
        <v>0</v>
      </c>
      <c r="H51" s="21"/>
    </row>
    <row r="52" customFormat="false" ht="15" hidden="false" customHeight="false" outlineLevel="0" collapsed="false">
      <c r="B52" s="17" t="s">
        <v>153</v>
      </c>
      <c r="C52" s="8"/>
      <c r="D52" s="18" t="s">
        <v>30</v>
      </c>
      <c r="E52" s="19" t="n">
        <v>0</v>
      </c>
      <c r="F52" s="19" t="n">
        <v>0</v>
      </c>
      <c r="G52" s="20" t="n">
        <f aca="false">IF(KALKULATOR!$C$12="Maksimal",F52,E52)</f>
        <v>0</v>
      </c>
      <c r="H52" s="21"/>
    </row>
    <row r="53" customFormat="false" ht="15" hidden="false" customHeight="false" outlineLevel="0" collapsed="false">
      <c r="B53" s="17" t="s">
        <v>154</v>
      </c>
      <c r="C53" s="8"/>
      <c r="D53" s="18" t="s">
        <v>30</v>
      </c>
      <c r="E53" s="19" t="n">
        <v>0</v>
      </c>
      <c r="F53" s="19" t="n">
        <v>0</v>
      </c>
      <c r="G53" s="20" t="n">
        <f aca="false">IF(KALKULATOR!$C$12="Maksimal",F53,E53)</f>
        <v>0</v>
      </c>
      <c r="H53" s="21"/>
    </row>
    <row r="54" customFormat="false" ht="15" hidden="false" customHeight="false" outlineLevel="0" collapsed="false">
      <c r="B54" s="17" t="s">
        <v>155</v>
      </c>
      <c r="C54" s="8"/>
      <c r="D54" s="18" t="s">
        <v>30</v>
      </c>
      <c r="E54" s="19" t="n">
        <v>0</v>
      </c>
      <c r="F54" s="19" t="n">
        <v>0</v>
      </c>
      <c r="G54" s="20" t="n">
        <f aca="false">IF(KALKULATOR!$C$12="Maksimal",F54,E54)</f>
        <v>0</v>
      </c>
      <c r="H54" s="21"/>
    </row>
    <row r="55" customFormat="false" ht="15" hidden="false" customHeight="false" outlineLevel="0" collapsed="false">
      <c r="B55" s="17" t="s">
        <v>156</v>
      </c>
      <c r="C55" s="8"/>
      <c r="D55" s="18" t="s">
        <v>30</v>
      </c>
      <c r="E55" s="19" t="n">
        <v>0</v>
      </c>
      <c r="F55" s="19" t="n">
        <v>0</v>
      </c>
      <c r="G55" s="20" t="n">
        <f aca="false">IF(KALKULATOR!$C$12="Maksimal",F55,E55)</f>
        <v>0</v>
      </c>
      <c r="H55" s="21"/>
    </row>
    <row r="56" customFormat="false" ht="15" hidden="false" customHeight="false" outlineLevel="0" collapsed="false">
      <c r="B56" s="17" t="s">
        <v>157</v>
      </c>
      <c r="C56" s="8"/>
      <c r="D56" s="18" t="s">
        <v>30</v>
      </c>
      <c r="E56" s="19" t="n">
        <v>0</v>
      </c>
      <c r="F56" s="19" t="n">
        <v>0</v>
      </c>
      <c r="G56" s="20" t="n">
        <f aca="false">IF(KALKULATOR!$C$12="Maksimal",F56,E56)</f>
        <v>0</v>
      </c>
      <c r="H56" s="21"/>
    </row>
    <row r="58" customFormat="false" ht="15" hidden="false" customHeight="true" outlineLevel="0" collapsed="false">
      <c r="B58" s="22" t="s">
        <v>158</v>
      </c>
      <c r="C58" s="22"/>
      <c r="D58" s="22"/>
      <c r="E58" s="22"/>
      <c r="F58" s="22"/>
      <c r="G58" s="22"/>
      <c r="H58" s="22"/>
    </row>
    <row r="59" customFormat="false" ht="15" hidden="false" customHeight="false" outlineLevel="0" collapsed="false">
      <c r="B59" s="22"/>
      <c r="C59" s="22"/>
      <c r="D59" s="22"/>
      <c r="E59" s="22"/>
      <c r="F59" s="22"/>
      <c r="G59" s="22"/>
      <c r="H59" s="22"/>
    </row>
    <row r="60" customFormat="false" ht="15" hidden="false" customHeight="false" outlineLevel="0" collapsed="false">
      <c r="B60" s="22"/>
      <c r="C60" s="22"/>
      <c r="D60" s="22"/>
      <c r="E60" s="22"/>
      <c r="F60" s="22"/>
      <c r="G60" s="22"/>
      <c r="H60" s="22"/>
    </row>
    <row r="61" customFormat="false" ht="15" hidden="false" customHeight="false" outlineLevel="0" collapsed="false">
      <c r="B61" s="22"/>
      <c r="C61" s="22"/>
      <c r="D61" s="22"/>
      <c r="E61" s="22"/>
      <c r="F61" s="22"/>
      <c r="G61" s="22"/>
      <c r="H61" s="22"/>
    </row>
  </sheetData>
  <mergeCells count="8">
    <mergeCell ref="B6:H6"/>
    <mergeCell ref="B20:H20"/>
    <mergeCell ref="B26:H26"/>
    <mergeCell ref="B36:H36"/>
    <mergeCell ref="B41:H41"/>
    <mergeCell ref="B46:H46"/>
    <mergeCell ref="B48:H48"/>
    <mergeCell ref="B58: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1"/>
    <col collapsed="false" customWidth="true" hidden="false" outlineLevel="0" max="5" min="4" style="0" width="9"/>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3"/>
    <col collapsed="false" customWidth="true" hidden="false" outlineLevel="0" max="10" min="10" style="0" width="30"/>
  </cols>
  <sheetData>
    <row r="2" customFormat="false" ht="19.7" hidden="false" customHeight="false" outlineLevel="0" collapsed="false">
      <c r="B2" s="1" t="s">
        <v>159</v>
      </c>
    </row>
    <row r="3" customFormat="false" ht="15" hidden="false" customHeight="false" outlineLevel="0" collapsed="false">
      <c r="B3" s="3" t="s">
        <v>160</v>
      </c>
    </row>
    <row r="5" customFormat="false" ht="15" hidden="false" customHeight="false" outlineLevel="0" collapsed="false">
      <c r="B5" s="23" t="s">
        <v>161</v>
      </c>
      <c r="C5" s="23"/>
      <c r="D5" s="23"/>
      <c r="E5" s="23"/>
      <c r="F5" s="23"/>
      <c r="G5" s="23"/>
      <c r="H5" s="23"/>
    </row>
    <row r="6" customFormat="false" ht="15" hidden="false" customHeight="false" outlineLevel="0" collapsed="false">
      <c r="B6" s="17" t="s">
        <v>162</v>
      </c>
      <c r="C6" s="24" t="n">
        <v>40</v>
      </c>
      <c r="D6" s="21" t="s">
        <v>163</v>
      </c>
      <c r="E6" s="21"/>
      <c r="F6" s="21"/>
      <c r="G6" s="21"/>
      <c r="H6" s="21"/>
    </row>
    <row r="7" customFormat="false" ht="15" hidden="false" customHeight="false" outlineLevel="0" collapsed="false">
      <c r="B7" s="17" t="s">
        <v>164</v>
      </c>
      <c r="C7" s="24" t="n">
        <v>9</v>
      </c>
      <c r="D7" s="21" t="s">
        <v>165</v>
      </c>
      <c r="E7" s="21"/>
      <c r="F7" s="21"/>
      <c r="G7" s="21"/>
      <c r="H7" s="21"/>
    </row>
    <row r="8" customFormat="false" ht="15" hidden="false" customHeight="false" outlineLevel="0" collapsed="false">
      <c r="B8" s="17" t="s">
        <v>166</v>
      </c>
      <c r="C8" s="24" t="n">
        <v>7</v>
      </c>
      <c r="D8" s="21" t="s">
        <v>167</v>
      </c>
      <c r="E8" s="21"/>
      <c r="F8" s="21"/>
      <c r="G8" s="21"/>
      <c r="H8" s="21"/>
    </row>
    <row r="9" customFormat="false" ht="15" hidden="false" customHeight="false" outlineLevel="0" collapsed="false">
      <c r="B9" s="17" t="s">
        <v>168</v>
      </c>
      <c r="C9" s="24" t="n">
        <v>2</v>
      </c>
      <c r="D9" s="21" t="s">
        <v>169</v>
      </c>
      <c r="E9" s="21"/>
      <c r="F9" s="21"/>
      <c r="G9" s="21"/>
      <c r="H9" s="21"/>
    </row>
    <row r="10" customFormat="false" ht="15" hidden="false" customHeight="false" outlineLevel="0" collapsed="false">
      <c r="B10" s="17" t="s">
        <v>170</v>
      </c>
      <c r="C10" s="24" t="n">
        <v>2</v>
      </c>
      <c r="D10" s="21" t="s">
        <v>169</v>
      </c>
      <c r="E10" s="21"/>
      <c r="F10" s="21"/>
      <c r="G10" s="21"/>
      <c r="H10" s="21"/>
    </row>
    <row r="11" customFormat="false" ht="15" hidden="false" customHeight="false" outlineLevel="0" collapsed="false">
      <c r="B11" s="17" t="s">
        <v>171</v>
      </c>
      <c r="C11" s="25" t="s">
        <v>172</v>
      </c>
      <c r="D11" s="21" t="s">
        <v>173</v>
      </c>
      <c r="E11" s="21"/>
      <c r="F11" s="21"/>
      <c r="G11" s="21"/>
      <c r="H11" s="21"/>
    </row>
    <row r="12" customFormat="false" ht="15" hidden="false" customHeight="false" outlineLevel="0" collapsed="false">
      <c r="B12" s="17" t="s">
        <v>174</v>
      </c>
      <c r="C12" s="25" t="s">
        <v>175</v>
      </c>
      <c r="D12" s="21" t="s">
        <v>176</v>
      </c>
      <c r="E12" s="21"/>
      <c r="F12" s="21"/>
      <c r="G12" s="21"/>
      <c r="H12" s="21"/>
    </row>
    <row r="13" customFormat="false" ht="15" hidden="false" customHeight="false" outlineLevel="0" collapsed="false">
      <c r="B13" s="17" t="s">
        <v>177</v>
      </c>
      <c r="C13" s="26" t="n">
        <v>0.05</v>
      </c>
      <c r="D13" s="21" t="s">
        <v>178</v>
      </c>
      <c r="E13" s="21"/>
      <c r="F13" s="21"/>
      <c r="G13" s="21"/>
      <c r="H13" s="21"/>
    </row>
    <row r="14" customFormat="false" ht="15" hidden="false" customHeight="false" outlineLevel="0" collapsed="false">
      <c r="B14" s="17" t="s">
        <v>179</v>
      </c>
      <c r="C14" s="26" t="n">
        <v>0.05</v>
      </c>
      <c r="D14" s="21" t="s">
        <v>180</v>
      </c>
      <c r="E14" s="21"/>
      <c r="F14" s="21"/>
      <c r="G14" s="21"/>
      <c r="H14" s="21"/>
    </row>
    <row r="15" customFormat="false" ht="15" hidden="false" customHeight="false" outlineLevel="0" collapsed="false">
      <c r="B15" s="17" t="s">
        <v>181</v>
      </c>
      <c r="C15" s="26" t="n">
        <v>0.2</v>
      </c>
      <c r="D15" s="21" t="s">
        <v>182</v>
      </c>
      <c r="E15" s="21"/>
      <c r="F15" s="21"/>
      <c r="G15" s="21"/>
      <c r="H15" s="21"/>
    </row>
    <row r="16" customFormat="false" ht="15" hidden="false" customHeight="false" outlineLevel="0" collapsed="false">
      <c r="B16" s="17" t="s">
        <v>183</v>
      </c>
      <c r="C16" s="24" t="n">
        <v>4800</v>
      </c>
      <c r="D16" s="21" t="s">
        <v>184</v>
      </c>
      <c r="E16" s="21"/>
      <c r="F16" s="21"/>
      <c r="G16" s="21"/>
      <c r="H16" s="21"/>
    </row>
    <row r="18" customFormat="false" ht="15" hidden="false" customHeight="false" outlineLevel="0" collapsed="false">
      <c r="B18" s="23" t="s">
        <v>185</v>
      </c>
      <c r="C18" s="23"/>
      <c r="D18" s="23"/>
      <c r="E18" s="23"/>
      <c r="F18" s="23"/>
      <c r="G18" s="23"/>
      <c r="H18" s="23"/>
    </row>
    <row r="19" customFormat="false" ht="15" hidden="false" customHeight="false" outlineLevel="0" collapsed="false">
      <c r="B19" s="27" t="s">
        <v>44</v>
      </c>
      <c r="C19" s="27" t="s">
        <v>186</v>
      </c>
      <c r="D19" s="27" t="s">
        <v>32</v>
      </c>
      <c r="E19" s="27" t="s">
        <v>45</v>
      </c>
      <c r="F19" s="27" t="s">
        <v>187</v>
      </c>
      <c r="G19" s="27" t="s">
        <v>188</v>
      </c>
      <c r="H19" s="27" t="s">
        <v>189</v>
      </c>
    </row>
    <row r="20" customFormat="false" ht="15" hidden="false" customHeight="false" outlineLevel="0" collapsed="false">
      <c r="B20" s="28" t="s">
        <v>190</v>
      </c>
      <c r="C20" s="28"/>
      <c r="D20" s="28"/>
      <c r="E20" s="28"/>
      <c r="F20" s="28"/>
      <c r="G20" s="28"/>
      <c r="H20" s="28"/>
    </row>
    <row r="21" customFormat="false" ht="15" hidden="false" customHeight="false" outlineLevel="0" collapsed="false">
      <c r="B21" s="9" t="s">
        <v>52</v>
      </c>
      <c r="C21" s="25" t="s">
        <v>191</v>
      </c>
      <c r="D21" s="24" t="n">
        <v>1</v>
      </c>
      <c r="E21" s="29" t="str">
        <f aca="false">KATALOG!D7</f>
        <v>FLAT</v>
      </c>
      <c r="F21" s="30" t="n">
        <f aca="false">KATALOG!G7</f>
        <v>200</v>
      </c>
      <c r="G21" s="31" t="n">
        <f aca="false">IF($C21="YA",$D21*$F21*IF($E21="PAX",$C$6,1),0)</f>
        <v>200</v>
      </c>
      <c r="H21" s="31" t="n">
        <f aca="false">IF($C$6=0,0,G21/$C$6)</f>
        <v>5</v>
      </c>
    </row>
    <row r="22" customFormat="false" ht="15" hidden="false" customHeight="false" outlineLevel="0" collapsed="false">
      <c r="B22" s="9" t="s">
        <v>55</v>
      </c>
      <c r="C22" s="25" t="s">
        <v>191</v>
      </c>
      <c r="D22" s="24" t="n">
        <v>1</v>
      </c>
      <c r="E22" s="29" t="str">
        <f aca="false">KATALOG!D8</f>
        <v>FLAT</v>
      </c>
      <c r="F22" s="30" t="n">
        <f aca="false">KATALOG!G8</f>
        <v>260</v>
      </c>
      <c r="G22" s="31" t="n">
        <f aca="false">IF($C22="YA",$D22*$F22*IF($E22="PAX",$C$6,1),0)</f>
        <v>260</v>
      </c>
      <c r="H22" s="31" t="n">
        <f aca="false">IF($C$6=0,0,G22/$C$6)</f>
        <v>6.5</v>
      </c>
    </row>
    <row r="23" customFormat="false" ht="15" hidden="false" customHeight="false" outlineLevel="0" collapsed="false">
      <c r="B23" s="9" t="s">
        <v>57</v>
      </c>
      <c r="C23" s="25" t="s">
        <v>191</v>
      </c>
      <c r="D23" s="24" t="n">
        <v>1</v>
      </c>
      <c r="E23" s="29" t="str">
        <f aca="false">KATALOG!D9</f>
        <v>PAX</v>
      </c>
      <c r="F23" s="30" t="n">
        <f aca="false">KATALOG!G9</f>
        <v>20</v>
      </c>
      <c r="G23" s="31" t="n">
        <f aca="false">IF($C23="YA",$D23*$F23*IF($E23="PAX",$C$6,1),0)</f>
        <v>800</v>
      </c>
      <c r="H23" s="31" t="n">
        <f aca="false">IF($C$6=0,0,G23/$C$6)</f>
        <v>20</v>
      </c>
    </row>
    <row r="24" customFormat="false" ht="15" hidden="false" customHeight="false" outlineLevel="0" collapsed="false">
      <c r="B24" s="9" t="s">
        <v>60</v>
      </c>
      <c r="C24" s="25" t="s">
        <v>191</v>
      </c>
      <c r="D24" s="24" t="n">
        <v>1</v>
      </c>
      <c r="E24" s="29" t="str">
        <f aca="false">KATALOG!D10</f>
        <v>FLAT</v>
      </c>
      <c r="F24" s="30" t="n">
        <f aca="false">KATALOG!G10</f>
        <v>20</v>
      </c>
      <c r="G24" s="31" t="n">
        <f aca="false">IF($C24="YA",$D24*$F24*IF($E24="PAX",$C$6,1),0)</f>
        <v>20</v>
      </c>
      <c r="H24" s="31" t="n">
        <f aca="false">IF($C$6=0,0,G24/$C$6)</f>
        <v>0.5</v>
      </c>
    </row>
    <row r="25" customFormat="false" ht="15" hidden="false" customHeight="false" outlineLevel="0" collapsed="false">
      <c r="B25" s="9" t="s">
        <v>63</v>
      </c>
      <c r="C25" s="25" t="s">
        <v>191</v>
      </c>
      <c r="D25" s="24" t="n">
        <f aca="false">$C$9</f>
        <v>2</v>
      </c>
      <c r="E25" s="29" t="str">
        <f aca="false">KATALOG!D11</f>
        <v>FLAT</v>
      </c>
      <c r="F25" s="30" t="n">
        <f aca="false">KATALOG!G11</f>
        <v>250</v>
      </c>
      <c r="G25" s="31" t="n">
        <f aca="false">IF($C25="YA",$D25*$F25*IF($E25="PAX",$C$6,1),0)</f>
        <v>500</v>
      </c>
      <c r="H25" s="31" t="n">
        <f aca="false">IF($C$6=0,0,G25/$C$6)</f>
        <v>12.5</v>
      </c>
    </row>
    <row r="26" customFormat="false" ht="15" hidden="false" customHeight="false" outlineLevel="0" collapsed="false">
      <c r="B26" s="9" t="s">
        <v>66</v>
      </c>
      <c r="C26" s="25" t="s">
        <v>191</v>
      </c>
      <c r="D26" s="24" t="n">
        <f aca="false">$C$9</f>
        <v>2</v>
      </c>
      <c r="E26" s="29" t="str">
        <f aca="false">KATALOG!D12</f>
        <v>FLAT</v>
      </c>
      <c r="F26" s="30" t="n">
        <f aca="false">KATALOG!G12</f>
        <v>70</v>
      </c>
      <c r="G26" s="31" t="n">
        <f aca="false">IF($C26="YA",$D26*$F26*IF($E26="PAX",$C$6,1),0)</f>
        <v>140</v>
      </c>
      <c r="H26" s="31" t="n">
        <f aca="false">IF($C$6=0,0,G26/$C$6)</f>
        <v>3.5</v>
      </c>
    </row>
    <row r="27" customFormat="false" ht="15" hidden="false" customHeight="false" outlineLevel="0" collapsed="false">
      <c r="B27" s="9" t="s">
        <v>69</v>
      </c>
      <c r="C27" s="25" t="s">
        <v>191</v>
      </c>
      <c r="D27" s="24" t="n">
        <f aca="false">$C$10</f>
        <v>2</v>
      </c>
      <c r="E27" s="29" t="str">
        <f aca="false">KATALOG!D13</f>
        <v>FLAT</v>
      </c>
      <c r="F27" s="30" t="n">
        <f aca="false">KATALOG!G13</f>
        <v>200</v>
      </c>
      <c r="G27" s="31" t="n">
        <f aca="false">IF($C27="YA",$D27*$F27*IF($E27="PAX",$C$6,1),0)</f>
        <v>400</v>
      </c>
      <c r="H27" s="31" t="n">
        <f aca="false">IF($C$6=0,0,G27/$C$6)</f>
        <v>10</v>
      </c>
    </row>
    <row r="28" customFormat="false" ht="15" hidden="false" customHeight="false" outlineLevel="0" collapsed="false">
      <c r="B28" s="9" t="s">
        <v>71</v>
      </c>
      <c r="C28" s="25" t="s">
        <v>191</v>
      </c>
      <c r="D28" s="24" t="n">
        <f aca="false">$C$10</f>
        <v>2</v>
      </c>
      <c r="E28" s="29" t="str">
        <f aca="false">KATALOG!D14</f>
        <v>FLAT</v>
      </c>
      <c r="F28" s="30" t="n">
        <f aca="false">KATALOG!G14</f>
        <v>80</v>
      </c>
      <c r="G28" s="31" t="n">
        <f aca="false">IF($C28="YA",$D28*$F28*IF($E28="PAX",$C$6,1),0)</f>
        <v>160</v>
      </c>
      <c r="H28" s="31" t="n">
        <f aca="false">IF($C$6=0,0,G28/$C$6)</f>
        <v>4</v>
      </c>
    </row>
    <row r="29" customFormat="false" ht="15" hidden="false" customHeight="false" outlineLevel="0" collapsed="false">
      <c r="B29" s="9" t="s">
        <v>73</v>
      </c>
      <c r="C29" s="25" t="s">
        <v>191</v>
      </c>
      <c r="D29" s="24" t="n">
        <v>1</v>
      </c>
      <c r="E29" s="29" t="str">
        <f aca="false">KATALOG!D15</f>
        <v>FLAT</v>
      </c>
      <c r="F29" s="30" t="n">
        <f aca="false">KATALOG!G15</f>
        <v>20</v>
      </c>
      <c r="G29" s="31" t="n">
        <f aca="false">IF($C29="YA",$D29*$F29*IF($E29="PAX",$C$6,1),0)</f>
        <v>20</v>
      </c>
      <c r="H29" s="31" t="n">
        <f aca="false">IF($C$6=0,0,G29/$C$6)</f>
        <v>0.5</v>
      </c>
    </row>
    <row r="30" customFormat="false" ht="15" hidden="false" customHeight="false" outlineLevel="0" collapsed="false">
      <c r="B30" s="9" t="s">
        <v>76</v>
      </c>
      <c r="C30" s="25" t="s">
        <v>191</v>
      </c>
      <c r="D30" s="24" t="n">
        <v>1</v>
      </c>
      <c r="E30" s="29" t="str">
        <f aca="false">KATALOG!D16</f>
        <v>FLAT</v>
      </c>
      <c r="F30" s="30" t="n">
        <f aca="false">KATALOG!G16</f>
        <v>250</v>
      </c>
      <c r="G30" s="31" t="n">
        <f aca="false">IF($C30="YA",$D30*$F30*IF($E30="PAX",$C$6,1),0)</f>
        <v>250</v>
      </c>
      <c r="H30" s="31" t="n">
        <f aca="false">IF($C$6=0,0,G30/$C$6)</f>
        <v>6.25</v>
      </c>
    </row>
    <row r="31" customFormat="false" ht="15" hidden="false" customHeight="false" outlineLevel="0" collapsed="false">
      <c r="B31" s="9" t="s">
        <v>78</v>
      </c>
      <c r="C31" s="25" t="s">
        <v>191</v>
      </c>
      <c r="D31" s="24" t="n">
        <v>1</v>
      </c>
      <c r="E31" s="29" t="str">
        <f aca="false">KATALOG!D17</f>
        <v>FLAT</v>
      </c>
      <c r="F31" s="30" t="n">
        <f aca="false">KATALOG!G17</f>
        <v>260</v>
      </c>
      <c r="G31" s="31" t="n">
        <f aca="false">IF($C31="YA",$D31*$F31*IF($E31="PAX",$C$6,1),0)</f>
        <v>260</v>
      </c>
      <c r="H31" s="31" t="n">
        <f aca="false">IF($C$6=0,0,G31/$C$6)</f>
        <v>6.5</v>
      </c>
    </row>
    <row r="32" customFormat="false" ht="15" hidden="false" customHeight="false" outlineLevel="0" collapsed="false">
      <c r="B32" s="9" t="s">
        <v>80</v>
      </c>
      <c r="C32" s="25" t="s">
        <v>191</v>
      </c>
      <c r="D32" s="24" t="n">
        <v>1</v>
      </c>
      <c r="E32" s="29" t="str">
        <f aca="false">KATALOG!D18</f>
        <v>PAX</v>
      </c>
      <c r="F32" s="30" t="n">
        <f aca="false">KATALOG!G18</f>
        <v>20</v>
      </c>
      <c r="G32" s="31" t="n">
        <f aca="false">IF($C32="YA",$D32*$F32*IF($E32="PAX",$C$6,1),0)</f>
        <v>800</v>
      </c>
      <c r="H32" s="31" t="n">
        <f aca="false">IF($C$6=0,0,G32/$C$6)</f>
        <v>20</v>
      </c>
    </row>
    <row r="33" customFormat="false" ht="15" hidden="false" customHeight="false" outlineLevel="0" collapsed="false">
      <c r="B33" s="9" t="s">
        <v>82</v>
      </c>
      <c r="C33" s="25" t="s">
        <v>191</v>
      </c>
      <c r="D33" s="24" t="n">
        <v>1</v>
      </c>
      <c r="E33" s="29" t="str">
        <f aca="false">KATALOG!D19</f>
        <v>FLAT</v>
      </c>
      <c r="F33" s="30" t="n">
        <f aca="false">KATALOG!G19</f>
        <v>20</v>
      </c>
      <c r="G33" s="31" t="n">
        <f aca="false">IF($C33="YA",$D33*$F33*IF($E33="PAX",$C$6,1),0)</f>
        <v>20</v>
      </c>
      <c r="H33" s="31" t="n">
        <f aca="false">IF($C$6=0,0,G33/$C$6)</f>
        <v>0.5</v>
      </c>
    </row>
    <row r="34" customFormat="false" ht="15" hidden="false" customHeight="false" outlineLevel="0" collapsed="false">
      <c r="B34" s="12" t="s">
        <v>192</v>
      </c>
      <c r="C34" s="32"/>
      <c r="D34" s="32"/>
      <c r="E34" s="32"/>
      <c r="F34" s="32"/>
      <c r="G34" s="33" t="n">
        <f aca="false">SUM(G21:G33)</f>
        <v>3830</v>
      </c>
      <c r="H34" s="33" t="n">
        <f aca="false">IF($C$6=0,0,G34/$C$6)</f>
        <v>95.75</v>
      </c>
    </row>
    <row r="36" customFormat="false" ht="15" hidden="false" customHeight="false" outlineLevel="0" collapsed="false">
      <c r="B36" s="28" t="s">
        <v>193</v>
      </c>
      <c r="C36" s="28"/>
      <c r="D36" s="28"/>
      <c r="E36" s="28"/>
      <c r="F36" s="28"/>
      <c r="G36" s="28"/>
      <c r="H36" s="28"/>
    </row>
    <row r="37" customFormat="false" ht="15" hidden="false" customHeight="false" outlineLevel="0" collapsed="false">
      <c r="B37" s="9" t="s">
        <v>86</v>
      </c>
      <c r="C37" s="25" t="s">
        <v>191</v>
      </c>
      <c r="D37" s="24" t="n">
        <f aca="false">$C$8</f>
        <v>7</v>
      </c>
      <c r="E37" s="29" t="str">
        <f aca="false">KATALOG!D21</f>
        <v>FLAT</v>
      </c>
      <c r="F37" s="30" t="n">
        <f aca="false">KATALOG!G21</f>
        <v>250</v>
      </c>
      <c r="G37" s="31" t="n">
        <f aca="false">IF($C37="YA",$D37*$F37*IF($E37="PAX",$C$6,1),0)</f>
        <v>1750</v>
      </c>
      <c r="H37" s="31" t="n">
        <f aca="false">IF($C$6=0,0,G37/$C$6)</f>
        <v>43.75</v>
      </c>
    </row>
    <row r="38" customFormat="false" ht="15" hidden="false" customHeight="false" outlineLevel="0" collapsed="false">
      <c r="B38" s="9" t="s">
        <v>89</v>
      </c>
      <c r="C38" s="25" t="s">
        <v>191</v>
      </c>
      <c r="D38" s="24" t="n">
        <v>1</v>
      </c>
      <c r="E38" s="29" t="str">
        <f aca="false">KATALOG!D22</f>
        <v>FLAT</v>
      </c>
      <c r="F38" s="30" t="n">
        <f aca="false">KATALOG!G22</f>
        <v>300</v>
      </c>
      <c r="G38" s="31" t="n">
        <f aca="false">IF($C38="YA",$D38*$F38*IF($E38="PAX",$C$6,1),0)</f>
        <v>300</v>
      </c>
      <c r="H38" s="31" t="n">
        <f aca="false">IF($C$6=0,0,G38/$C$6)</f>
        <v>7.5</v>
      </c>
    </row>
    <row r="39" customFormat="false" ht="15" hidden="false" customHeight="false" outlineLevel="0" collapsed="false">
      <c r="B39" s="9" t="s">
        <v>92</v>
      </c>
      <c r="C39" s="25" t="s">
        <v>191</v>
      </c>
      <c r="D39" s="24" t="n">
        <v>1</v>
      </c>
      <c r="E39" s="29" t="str">
        <f aca="false">KATALOG!D23</f>
        <v>FLAT</v>
      </c>
      <c r="F39" s="30" t="n">
        <f aca="false">KATALOG!G23</f>
        <v>200</v>
      </c>
      <c r="G39" s="31" t="n">
        <f aca="false">IF($C39="YA",$D39*$F39*IF($E39="PAX",$C$6,1),0)</f>
        <v>200</v>
      </c>
      <c r="H39" s="31" t="n">
        <f aca="false">IF($C$6=0,0,G39/$C$6)</f>
        <v>5</v>
      </c>
    </row>
    <row r="40" customFormat="false" ht="15" hidden="false" customHeight="false" outlineLevel="0" collapsed="false">
      <c r="B40" s="9" t="s">
        <v>194</v>
      </c>
      <c r="C40" s="25" t="s">
        <v>195</v>
      </c>
      <c r="D40" s="24" t="n">
        <v>0</v>
      </c>
      <c r="E40" s="29" t="str">
        <f aca="false">KATALOG!D24</f>
        <v>FLAT</v>
      </c>
      <c r="F40" s="30" t="n">
        <f aca="false">KATALOG!G24</f>
        <v>250</v>
      </c>
      <c r="G40" s="31" t="n">
        <f aca="false">IF($C40="YA",$D40*$F40*IF($E40="PAX",$C$6,1),0)</f>
        <v>0</v>
      </c>
      <c r="H40" s="31" t="n">
        <f aca="false">IF($C$6=0,0,G40/$C$6)</f>
        <v>0</v>
      </c>
    </row>
    <row r="41" customFormat="false" ht="15" hidden="false" customHeight="false" outlineLevel="0" collapsed="false">
      <c r="B41" s="9" t="s">
        <v>196</v>
      </c>
      <c r="C41" s="25" t="s">
        <v>195</v>
      </c>
      <c r="D41" s="24" t="n">
        <v>0</v>
      </c>
      <c r="E41" s="29" t="str">
        <f aca="false">KATALOG!D25</f>
        <v>FLAT</v>
      </c>
      <c r="F41" s="30" t="n">
        <f aca="false">KATALOG!G25</f>
        <v>250</v>
      </c>
      <c r="G41" s="31" t="n">
        <f aca="false">IF($C41="YA",$D41*$F41*IF($E41="PAX",$C$6,1),0)</f>
        <v>0</v>
      </c>
      <c r="H41" s="31" t="n">
        <f aca="false">IF($C$6=0,0,G41/$C$6)</f>
        <v>0</v>
      </c>
    </row>
    <row r="42" customFormat="false" ht="15" hidden="false" customHeight="false" outlineLevel="0" collapsed="false">
      <c r="B42" s="12" t="s">
        <v>197</v>
      </c>
      <c r="C42" s="32"/>
      <c r="D42" s="32"/>
      <c r="E42" s="32"/>
      <c r="F42" s="32"/>
      <c r="G42" s="33" t="n">
        <f aca="false">SUM(G37:G41)</f>
        <v>2250</v>
      </c>
      <c r="H42" s="33" t="n">
        <f aca="false">IF($C$6=0,0,G42/$C$6)</f>
        <v>56.25</v>
      </c>
    </row>
    <row r="44" customFormat="false" ht="15" hidden="false" customHeight="false" outlineLevel="0" collapsed="false">
      <c r="B44" s="28" t="s">
        <v>198</v>
      </c>
      <c r="C44" s="28"/>
      <c r="D44" s="28"/>
      <c r="E44" s="28"/>
      <c r="F44" s="28"/>
      <c r="G44" s="28"/>
      <c r="H44" s="28"/>
    </row>
    <row r="45" customFormat="false" ht="15" hidden="false" customHeight="false" outlineLevel="0" collapsed="false">
      <c r="B45" s="9" t="s">
        <v>199</v>
      </c>
      <c r="C45" s="25" t="s">
        <v>191</v>
      </c>
      <c r="D45" s="24" t="n">
        <v>1</v>
      </c>
      <c r="E45" s="29" t="str">
        <f aca="false">IF($C$11="Premium",KATALOG!D28,KATALOG!D27)</f>
        <v>PAX</v>
      </c>
      <c r="F45" s="30" t="n">
        <f aca="false">IF($C$11="Premium",KATALOG!G28,KATALOG!G27)</f>
        <v>15</v>
      </c>
      <c r="G45" s="31" t="n">
        <f aca="false">IF($C45="YA",$D45*$F45*IF($E45="PAX",$C$6,1),0)</f>
        <v>600</v>
      </c>
      <c r="H45" s="31" t="n">
        <f aca="false">IF($C$6=0,0,G45/$C$6)</f>
        <v>15</v>
      </c>
    </row>
    <row r="46" customFormat="false" ht="15" hidden="false" customHeight="false" outlineLevel="0" collapsed="false">
      <c r="B46" s="9" t="s">
        <v>200</v>
      </c>
      <c r="C46" s="25" t="s">
        <v>191</v>
      </c>
      <c r="D46" s="24" t="n">
        <v>2</v>
      </c>
      <c r="E46" s="29" t="str">
        <f aca="false">IF($C$11="Premium",KATALOG!D30,KATALOG!D29)</f>
        <v>PAX</v>
      </c>
      <c r="F46" s="30" t="n">
        <f aca="false">IF($C$11="Premium",KATALOG!G30,KATALOG!G29)</f>
        <v>6.5</v>
      </c>
      <c r="G46" s="31" t="n">
        <f aca="false">IF($C46="YA",$D46*$F46*IF($E46="PAX",$C$6,1),0)</f>
        <v>520</v>
      </c>
      <c r="H46" s="31" t="n">
        <f aca="false">IF($C$6=0,0,G46/$C$6)</f>
        <v>13</v>
      </c>
    </row>
    <row r="47" customFormat="false" ht="15" hidden="false" customHeight="false" outlineLevel="0" collapsed="false">
      <c r="B47" s="9" t="s">
        <v>201</v>
      </c>
      <c r="C47" s="25" t="s">
        <v>191</v>
      </c>
      <c r="D47" s="24" t="n">
        <v>1</v>
      </c>
      <c r="E47" s="29" t="str">
        <f aca="false">IF($C$11="Premium",KATALOG!D32,KATALOG!D31)</f>
        <v>PAX</v>
      </c>
      <c r="F47" s="30" t="n">
        <f aca="false">IF($C$11="Premium",KATALOG!G32,KATALOG!G31)</f>
        <v>8</v>
      </c>
      <c r="G47" s="31" t="n">
        <f aca="false">IF($C47="YA",$D47*$F47*IF($E47="PAX",$C$6,1),0)</f>
        <v>320</v>
      </c>
      <c r="H47" s="31" t="n">
        <f aca="false">IF($C$6=0,0,G47/$C$6)</f>
        <v>8</v>
      </c>
    </row>
    <row r="48" customFormat="false" ht="15" hidden="false" customHeight="false" outlineLevel="0" collapsed="false">
      <c r="B48" s="9" t="s">
        <v>117</v>
      </c>
      <c r="C48" s="25" t="s">
        <v>191</v>
      </c>
      <c r="D48" s="24" t="n">
        <v>1</v>
      </c>
      <c r="E48" s="29" t="str">
        <f aca="false">KATALOG!D33</f>
        <v>PAX</v>
      </c>
      <c r="F48" s="30" t="n">
        <f aca="false">KATALOG!G33</f>
        <v>12.5</v>
      </c>
      <c r="G48" s="31" t="n">
        <f aca="false">IF($C48="YA",$D48*$F48*IF($E48="PAX",$C$6,1),0)</f>
        <v>500</v>
      </c>
      <c r="H48" s="31" t="n">
        <f aca="false">IF($C$6=0,0,G48/$C$6)</f>
        <v>12.5</v>
      </c>
    </row>
    <row r="49" customFormat="false" ht="15" hidden="false" customHeight="false" outlineLevel="0" collapsed="false">
      <c r="B49" s="9" t="s">
        <v>120</v>
      </c>
      <c r="C49" s="25" t="s">
        <v>195</v>
      </c>
      <c r="D49" s="24" t="n">
        <v>1</v>
      </c>
      <c r="E49" s="29" t="str">
        <f aca="false">KATALOG!D34</f>
        <v>PAX</v>
      </c>
      <c r="F49" s="30" t="n">
        <f aca="false">KATALOG!G34</f>
        <v>25</v>
      </c>
      <c r="G49" s="31" t="n">
        <f aca="false">IF($C49="YA",$D49*$F49*IF($E49="PAX",$C$6,1),0)</f>
        <v>0</v>
      </c>
      <c r="H49" s="31" t="n">
        <f aca="false">IF($C$6=0,0,G49/$C$6)</f>
        <v>0</v>
      </c>
    </row>
    <row r="50" customFormat="false" ht="15" hidden="false" customHeight="false" outlineLevel="0" collapsed="false">
      <c r="B50" s="9" t="s">
        <v>202</v>
      </c>
      <c r="C50" s="25" t="s">
        <v>191</v>
      </c>
      <c r="D50" s="24" t="n">
        <v>1</v>
      </c>
      <c r="E50" s="29" t="str">
        <f aca="false">KATALOG!D35</f>
        <v>FLAT</v>
      </c>
      <c r="F50" s="30" t="n">
        <f aca="false">KATALOG!G35</f>
        <v>22.5</v>
      </c>
      <c r="G50" s="31" t="n">
        <f aca="false">IF($C50="YA",$D50*$F50*IF($E50="PAX",$C$6,1),0)</f>
        <v>22.5</v>
      </c>
      <c r="H50" s="31" t="n">
        <f aca="false">IF($C$6=0,0,G50/$C$6)</f>
        <v>0.5625</v>
      </c>
    </row>
    <row r="51" customFormat="false" ht="15" hidden="false" customHeight="false" outlineLevel="0" collapsed="false">
      <c r="B51" s="12" t="s">
        <v>203</v>
      </c>
      <c r="C51" s="32"/>
      <c r="D51" s="32"/>
      <c r="E51" s="32"/>
      <c r="F51" s="32"/>
      <c r="G51" s="33" t="n">
        <f aca="false">SUM(G45:G50)</f>
        <v>1962.5</v>
      </c>
      <c r="H51" s="33" t="n">
        <f aca="false">IF($C$6=0,0,G51/$C$6)</f>
        <v>49.0625</v>
      </c>
    </row>
    <row r="53" customFormat="false" ht="15" hidden="false" customHeight="false" outlineLevel="0" collapsed="false">
      <c r="B53" s="28" t="s">
        <v>204</v>
      </c>
      <c r="C53" s="28"/>
      <c r="D53" s="28"/>
      <c r="E53" s="28"/>
      <c r="F53" s="28"/>
      <c r="G53" s="28"/>
      <c r="H53" s="28"/>
    </row>
    <row r="54" customFormat="false" ht="15" hidden="false" customHeight="false" outlineLevel="0" collapsed="false">
      <c r="B54" s="9" t="s">
        <v>127</v>
      </c>
      <c r="C54" s="25" t="s">
        <v>191</v>
      </c>
      <c r="D54" s="24" t="n">
        <v>1</v>
      </c>
      <c r="E54" s="29" t="str">
        <f aca="false">KATALOG!D37</f>
        <v>FLAT</v>
      </c>
      <c r="F54" s="30" t="n">
        <f aca="false">KATALOG!G37</f>
        <v>100</v>
      </c>
      <c r="G54" s="31" t="n">
        <f aca="false">IF($C54="YA",$D54*$F54*IF($E54="PAX",$C$6,1),0)</f>
        <v>100</v>
      </c>
      <c r="H54" s="31" t="n">
        <f aca="false">IF($C$6=0,0,G54/$C$6)</f>
        <v>2.5</v>
      </c>
    </row>
    <row r="55" customFormat="false" ht="15" hidden="false" customHeight="false" outlineLevel="0" collapsed="false">
      <c r="B55" s="9" t="s">
        <v>205</v>
      </c>
      <c r="C55" s="25" t="s">
        <v>191</v>
      </c>
      <c r="D55" s="24" t="n">
        <v>2</v>
      </c>
      <c r="E55" s="29" t="str">
        <f aca="false">KATALOG!D38</f>
        <v>FLAT</v>
      </c>
      <c r="F55" s="30" t="n">
        <f aca="false">KATALOG!G38</f>
        <v>50</v>
      </c>
      <c r="G55" s="31" t="n">
        <f aca="false">IF($C55="YA",$D55*$F55*IF($E55="PAX",$C$6,1),0)</f>
        <v>100</v>
      </c>
      <c r="H55" s="31" t="n">
        <f aca="false">IF($C$6=0,0,G55/$C$6)</f>
        <v>2.5</v>
      </c>
    </row>
    <row r="56" customFormat="false" ht="15" hidden="false" customHeight="false" outlineLevel="0" collapsed="false">
      <c r="B56" s="9" t="s">
        <v>132</v>
      </c>
      <c r="C56" s="25" t="s">
        <v>191</v>
      </c>
      <c r="D56" s="24" t="n">
        <v>1</v>
      </c>
      <c r="E56" s="29" t="str">
        <f aca="false">KATALOG!D39</f>
        <v>FLAT</v>
      </c>
      <c r="F56" s="30" t="n">
        <f aca="false">KATALOG!G39</f>
        <v>100</v>
      </c>
      <c r="G56" s="31" t="n">
        <f aca="false">IF($C56="YA",$D56*$F56*IF($E56="PAX",$C$6,1),0)</f>
        <v>100</v>
      </c>
      <c r="H56" s="31" t="n">
        <f aca="false">IF($C$6=0,0,G56/$C$6)</f>
        <v>2.5</v>
      </c>
    </row>
    <row r="57" customFormat="false" ht="15" hidden="false" customHeight="false" outlineLevel="0" collapsed="false">
      <c r="B57" s="9" t="s">
        <v>134</v>
      </c>
      <c r="C57" s="25" t="s">
        <v>191</v>
      </c>
      <c r="D57" s="24" t="n">
        <v>1</v>
      </c>
      <c r="E57" s="29" t="str">
        <f aca="false">KATALOG!D40</f>
        <v>FLAT</v>
      </c>
      <c r="F57" s="30" t="n">
        <f aca="false">KATALOG!G40</f>
        <v>100</v>
      </c>
      <c r="G57" s="31" t="n">
        <f aca="false">IF($C57="YA",$D57*$F57*IF($E57="PAX",$C$6,1),0)</f>
        <v>100</v>
      </c>
      <c r="H57" s="31" t="n">
        <f aca="false">IF($C$6=0,0,G57/$C$6)</f>
        <v>2.5</v>
      </c>
    </row>
    <row r="58" customFormat="false" ht="15" hidden="false" customHeight="false" outlineLevel="0" collapsed="false">
      <c r="B58" s="12" t="s">
        <v>206</v>
      </c>
      <c r="C58" s="32"/>
      <c r="D58" s="32"/>
      <c r="E58" s="32"/>
      <c r="F58" s="32"/>
      <c r="G58" s="33" t="n">
        <f aca="false">SUM(G54:G57)</f>
        <v>400</v>
      </c>
      <c r="H58" s="33" t="n">
        <f aca="false">IF($C$6=0,0,G58/$C$6)</f>
        <v>10</v>
      </c>
    </row>
    <row r="60" customFormat="false" ht="15" hidden="false" customHeight="false" outlineLevel="0" collapsed="false">
      <c r="B60" s="28" t="s">
        <v>207</v>
      </c>
      <c r="C60" s="28"/>
      <c r="D60" s="28"/>
      <c r="E60" s="28"/>
      <c r="F60" s="28"/>
      <c r="G60" s="28"/>
      <c r="H60" s="28"/>
    </row>
    <row r="61" customFormat="false" ht="15" hidden="false" customHeight="false" outlineLevel="0" collapsed="false">
      <c r="B61" s="9" t="s">
        <v>137</v>
      </c>
      <c r="C61" s="25" t="s">
        <v>195</v>
      </c>
      <c r="D61" s="24" t="n">
        <v>0</v>
      </c>
      <c r="E61" s="29" t="str">
        <f aca="false">KATALOG!D42</f>
        <v>FLAT</v>
      </c>
      <c r="F61" s="30" t="n">
        <f aca="false">KATALOG!G42</f>
        <v>230</v>
      </c>
      <c r="G61" s="31" t="n">
        <f aca="false">IF($C61="YA",$D61*$F61*IF($E61="PAX",$C$6,1),0)</f>
        <v>0</v>
      </c>
      <c r="H61" s="31" t="n">
        <f aca="false">IF($C$6=0,0,G61/$C$6)</f>
        <v>0</v>
      </c>
    </row>
    <row r="62" customFormat="false" ht="15" hidden="false" customHeight="false" outlineLevel="0" collapsed="false">
      <c r="B62" s="9" t="s">
        <v>139</v>
      </c>
      <c r="C62" s="25" t="s">
        <v>195</v>
      </c>
      <c r="D62" s="24" t="n">
        <v>0</v>
      </c>
      <c r="E62" s="29" t="str">
        <f aca="false">KATALOG!D43</f>
        <v>FLAT</v>
      </c>
      <c r="F62" s="30" t="n">
        <f aca="false">KATALOG!G43</f>
        <v>250</v>
      </c>
      <c r="G62" s="31" t="n">
        <f aca="false">IF($C62="YA",$D62*$F62*IF($E62="PAX",$C$6,1),0)</f>
        <v>0</v>
      </c>
      <c r="H62" s="31" t="n">
        <f aca="false">IF($C$6=0,0,G62/$C$6)</f>
        <v>0</v>
      </c>
    </row>
    <row r="63" customFormat="false" ht="15" hidden="false" customHeight="false" outlineLevel="0" collapsed="false">
      <c r="B63" s="9" t="s">
        <v>208</v>
      </c>
      <c r="C63" s="25" t="s">
        <v>195</v>
      </c>
      <c r="D63" s="24" t="n">
        <v>0</v>
      </c>
      <c r="E63" s="29" t="str">
        <f aca="false">KATALOG!D44</f>
        <v>FLAT</v>
      </c>
      <c r="F63" s="30" t="n">
        <f aca="false">KATALOG!G44</f>
        <v>280</v>
      </c>
      <c r="G63" s="31" t="n">
        <f aca="false">IF($C63="YA",$D63*$F63*IF($E63="PAX",$C$6,1),0)</f>
        <v>0</v>
      </c>
      <c r="H63" s="31" t="n">
        <f aca="false">IF($C$6=0,0,G63/$C$6)</f>
        <v>0</v>
      </c>
    </row>
    <row r="64" customFormat="false" ht="15" hidden="false" customHeight="false" outlineLevel="0" collapsed="false">
      <c r="B64" s="9" t="s">
        <v>143</v>
      </c>
      <c r="C64" s="25" t="s">
        <v>195</v>
      </c>
      <c r="D64" s="24" t="n">
        <v>0</v>
      </c>
      <c r="E64" s="29" t="str">
        <f aca="false">KATALOG!D45</f>
        <v>FLAT</v>
      </c>
      <c r="F64" s="30" t="n">
        <f aca="false">KATALOG!G45</f>
        <v>50</v>
      </c>
      <c r="G64" s="31" t="n">
        <f aca="false">IF($C64="YA",$D64*$F64*IF($E64="PAX",$C$6,1),0)</f>
        <v>0</v>
      </c>
      <c r="H64" s="31" t="n">
        <f aca="false">IF($C$6=0,0,G64/$C$6)</f>
        <v>0</v>
      </c>
    </row>
    <row r="65" customFormat="false" ht="15" hidden="false" customHeight="false" outlineLevel="0" collapsed="false">
      <c r="B65" s="12" t="s">
        <v>209</v>
      </c>
      <c r="C65" s="32"/>
      <c r="D65" s="32"/>
      <c r="E65" s="32"/>
      <c r="F65" s="32"/>
      <c r="G65" s="33" t="n">
        <f aca="false">SUM(G61:G64)</f>
        <v>0</v>
      </c>
      <c r="H65" s="33" t="n">
        <f aca="false">IF($C$6=0,0,G65/$C$6)</f>
        <v>0</v>
      </c>
    </row>
    <row r="67" customFormat="false" ht="15" hidden="false" customHeight="false" outlineLevel="0" collapsed="false">
      <c r="B67" s="28" t="s">
        <v>210</v>
      </c>
      <c r="C67" s="28"/>
      <c r="D67" s="28"/>
      <c r="E67" s="28"/>
      <c r="F67" s="28"/>
      <c r="G67" s="28"/>
      <c r="H67" s="28"/>
    </row>
    <row r="68" customFormat="false" ht="15" hidden="false" customHeight="false" outlineLevel="0" collapsed="false">
      <c r="B68" s="9" t="s">
        <v>211</v>
      </c>
      <c r="C68" s="25" t="s">
        <v>195</v>
      </c>
      <c r="D68" s="24" t="n">
        <v>0</v>
      </c>
      <c r="E68" s="29" t="str">
        <f aca="false">KATALOG!D47</f>
        <v>FLAT</v>
      </c>
      <c r="F68" s="30" t="n">
        <f aca="false">KATALOG!G47</f>
        <v>500</v>
      </c>
      <c r="G68" s="31" t="n">
        <f aca="false">IF($C68="YA",$D68*$F68*IF($E68="PAX",$C$6,1),0)</f>
        <v>0</v>
      </c>
      <c r="H68" s="31" t="n">
        <f aca="false">IF($C$6=0,0,G68/$C$6)</f>
        <v>0</v>
      </c>
    </row>
    <row r="69" customFormat="false" ht="15" hidden="false" customHeight="false" outlineLevel="0" collapsed="false">
      <c r="B69" s="12" t="s">
        <v>212</v>
      </c>
      <c r="C69" s="32"/>
      <c r="D69" s="32"/>
      <c r="E69" s="32"/>
      <c r="F69" s="32"/>
      <c r="G69" s="33" t="n">
        <f aca="false">SUM(G68:G68)</f>
        <v>0</v>
      </c>
      <c r="H69" s="33" t="n">
        <f aca="false">IF($C$6=0,0,G69/$C$6)</f>
        <v>0</v>
      </c>
    </row>
    <row r="71" customFormat="false" ht="15" hidden="false" customHeight="false" outlineLevel="0" collapsed="false">
      <c r="B71" s="28" t="s">
        <v>213</v>
      </c>
      <c r="C71" s="28"/>
      <c r="D71" s="28"/>
      <c r="E71" s="28"/>
      <c r="F71" s="28"/>
      <c r="G71" s="28"/>
      <c r="H71" s="28"/>
    </row>
    <row r="72" customFormat="false" ht="15" hidden="false" customHeight="false" outlineLevel="0" collapsed="false">
      <c r="B72" s="9" t="s">
        <v>214</v>
      </c>
      <c r="C72" s="25" t="s">
        <v>195</v>
      </c>
      <c r="D72" s="24" t="n">
        <v>0</v>
      </c>
      <c r="E72" s="29" t="str">
        <f aca="false">KATALOG!D49</f>
        <v>FLAT</v>
      </c>
      <c r="F72" s="30" t="n">
        <f aca="false">KATALOG!G49</f>
        <v>0</v>
      </c>
      <c r="G72" s="31" t="n">
        <f aca="false">IF($C72="YA",$D72*$F72*IF($E72="PAX",$C$6,1),0)</f>
        <v>0</v>
      </c>
      <c r="H72" s="31" t="n">
        <f aca="false">IF($C$6=0,0,G72/$C$6)</f>
        <v>0</v>
      </c>
    </row>
    <row r="73" customFormat="false" ht="15" hidden="false" customHeight="false" outlineLevel="0" collapsed="false">
      <c r="B73" s="9" t="s">
        <v>215</v>
      </c>
      <c r="C73" s="25" t="s">
        <v>195</v>
      </c>
      <c r="D73" s="24" t="n">
        <v>0</v>
      </c>
      <c r="E73" s="29" t="str">
        <f aca="false">KATALOG!D50</f>
        <v>FLAT</v>
      </c>
      <c r="F73" s="30" t="n">
        <f aca="false">KATALOG!G50</f>
        <v>0</v>
      </c>
      <c r="G73" s="31" t="n">
        <f aca="false">IF($C73="YA",$D73*$F73*IF($E73="PAX",$C$6,1),0)</f>
        <v>0</v>
      </c>
      <c r="H73" s="31" t="n">
        <f aca="false">IF($C$6=0,0,G73/$C$6)</f>
        <v>0</v>
      </c>
    </row>
    <row r="74" customFormat="false" ht="15" hidden="false" customHeight="false" outlineLevel="0" collapsed="false">
      <c r="B74" s="9" t="s">
        <v>216</v>
      </c>
      <c r="C74" s="25" t="s">
        <v>195</v>
      </c>
      <c r="D74" s="24" t="n">
        <v>0</v>
      </c>
      <c r="E74" s="29" t="str">
        <f aca="false">KATALOG!D51</f>
        <v>FLAT</v>
      </c>
      <c r="F74" s="30" t="n">
        <f aca="false">KATALOG!G51</f>
        <v>0</v>
      </c>
      <c r="G74" s="31" t="n">
        <f aca="false">IF($C74="YA",$D74*$F74*IF($E74="PAX",$C$6,1),0)</f>
        <v>0</v>
      </c>
      <c r="H74" s="31" t="n">
        <f aca="false">IF($C$6=0,0,G74/$C$6)</f>
        <v>0</v>
      </c>
    </row>
    <row r="75" customFormat="false" ht="15" hidden="false" customHeight="false" outlineLevel="0" collapsed="false">
      <c r="B75" s="9" t="s">
        <v>217</v>
      </c>
      <c r="C75" s="25" t="s">
        <v>195</v>
      </c>
      <c r="D75" s="24" t="n">
        <v>0</v>
      </c>
      <c r="E75" s="29" t="str">
        <f aca="false">KATALOG!D52</f>
        <v>FLAT</v>
      </c>
      <c r="F75" s="30" t="n">
        <f aca="false">KATALOG!G52</f>
        <v>0</v>
      </c>
      <c r="G75" s="31" t="n">
        <f aca="false">IF($C75="YA",$D75*$F75*IF($E75="PAX",$C$6,1),0)</f>
        <v>0</v>
      </c>
      <c r="H75" s="31" t="n">
        <f aca="false">IF($C$6=0,0,G75/$C$6)</f>
        <v>0</v>
      </c>
    </row>
    <row r="76" customFormat="false" ht="15" hidden="false" customHeight="false" outlineLevel="0" collapsed="false">
      <c r="B76" s="9" t="s">
        <v>218</v>
      </c>
      <c r="C76" s="25" t="s">
        <v>195</v>
      </c>
      <c r="D76" s="24" t="n">
        <v>0</v>
      </c>
      <c r="E76" s="29" t="str">
        <f aca="false">KATALOG!D53</f>
        <v>FLAT</v>
      </c>
      <c r="F76" s="30" t="n">
        <f aca="false">KATALOG!G53</f>
        <v>0</v>
      </c>
      <c r="G76" s="31" t="n">
        <f aca="false">IF($C76="YA",$D76*$F76*IF($E76="PAX",$C$6,1),0)</f>
        <v>0</v>
      </c>
      <c r="H76" s="31" t="n">
        <f aca="false">IF($C$6=0,0,G76/$C$6)</f>
        <v>0</v>
      </c>
    </row>
    <row r="77" customFormat="false" ht="15" hidden="false" customHeight="false" outlineLevel="0" collapsed="false">
      <c r="B77" s="9" t="s">
        <v>219</v>
      </c>
      <c r="C77" s="25" t="s">
        <v>195</v>
      </c>
      <c r="D77" s="24" t="n">
        <v>0</v>
      </c>
      <c r="E77" s="29" t="str">
        <f aca="false">KATALOG!D54</f>
        <v>FLAT</v>
      </c>
      <c r="F77" s="30" t="n">
        <f aca="false">KATALOG!G54</f>
        <v>0</v>
      </c>
      <c r="G77" s="31" t="n">
        <f aca="false">IF($C77="YA",$D77*$F77*IF($E77="PAX",$C$6,1),0)</f>
        <v>0</v>
      </c>
      <c r="H77" s="31" t="n">
        <f aca="false">IF($C$6=0,0,G77/$C$6)</f>
        <v>0</v>
      </c>
    </row>
    <row r="78" customFormat="false" ht="15" hidden="false" customHeight="false" outlineLevel="0" collapsed="false">
      <c r="B78" s="9" t="s">
        <v>220</v>
      </c>
      <c r="C78" s="25" t="s">
        <v>195</v>
      </c>
      <c r="D78" s="24" t="n">
        <v>0</v>
      </c>
      <c r="E78" s="29" t="str">
        <f aca="false">KATALOG!D55</f>
        <v>FLAT</v>
      </c>
      <c r="F78" s="30" t="n">
        <f aca="false">KATALOG!G55</f>
        <v>0</v>
      </c>
      <c r="G78" s="31" t="n">
        <f aca="false">IF($C78="YA",$D78*$F78*IF($E78="PAX",$C$6,1),0)</f>
        <v>0</v>
      </c>
      <c r="H78" s="31" t="n">
        <f aca="false">IF($C$6=0,0,G78/$C$6)</f>
        <v>0</v>
      </c>
    </row>
    <row r="79" customFormat="false" ht="15" hidden="false" customHeight="false" outlineLevel="0" collapsed="false">
      <c r="B79" s="9" t="s">
        <v>221</v>
      </c>
      <c r="C79" s="25" t="s">
        <v>195</v>
      </c>
      <c r="D79" s="24" t="n">
        <v>0</v>
      </c>
      <c r="E79" s="29" t="str">
        <f aca="false">KATALOG!D56</f>
        <v>FLAT</v>
      </c>
      <c r="F79" s="30" t="n">
        <f aca="false">KATALOG!G56</f>
        <v>0</v>
      </c>
      <c r="G79" s="31" t="n">
        <f aca="false">IF($C79="YA",$D79*$F79*IF($E79="PAX",$C$6,1),0)</f>
        <v>0</v>
      </c>
      <c r="H79" s="31" t="n">
        <f aca="false">IF($C$6=0,0,G79/$C$6)</f>
        <v>0</v>
      </c>
    </row>
    <row r="80" customFormat="false" ht="15" hidden="false" customHeight="false" outlineLevel="0" collapsed="false">
      <c r="B80" s="12" t="s">
        <v>222</v>
      </c>
      <c r="C80" s="32"/>
      <c r="D80" s="32"/>
      <c r="E80" s="32"/>
      <c r="F80" s="32"/>
      <c r="G80" s="33" t="n">
        <f aca="false">SUM(G72:G79)</f>
        <v>0</v>
      </c>
      <c r="H80" s="33" t="n">
        <f aca="false">IF($C$6=0,0,G80/$C$6)</f>
        <v>0</v>
      </c>
    </row>
    <row r="82" customFormat="false" ht="15" hidden="false" customHeight="false" outlineLevel="0" collapsed="false">
      <c r="B82" s="23" t="s">
        <v>223</v>
      </c>
      <c r="C82" s="23"/>
      <c r="D82" s="23"/>
      <c r="E82" s="23"/>
      <c r="F82" s="23"/>
      <c r="G82" s="23"/>
      <c r="H82" s="23"/>
    </row>
    <row r="83" customFormat="false" ht="15" hidden="false" customHeight="false" outlineLevel="0" collapsed="false">
      <c r="B83" s="34" t="s">
        <v>224</v>
      </c>
      <c r="C83" s="34"/>
      <c r="D83" s="34"/>
      <c r="E83" s="34"/>
      <c r="F83" s="34"/>
      <c r="G83" s="34" t="s">
        <v>225</v>
      </c>
      <c r="H83" s="34" t="s">
        <v>226</v>
      </c>
    </row>
    <row r="84" customFormat="false" ht="15" hidden="false" customHeight="false" outlineLevel="0" collapsed="false">
      <c r="B84" s="12" t="s">
        <v>227</v>
      </c>
      <c r="C84" s="12"/>
      <c r="D84" s="12"/>
      <c r="E84" s="12"/>
      <c r="F84" s="12"/>
      <c r="G84" s="33" t="n">
        <f aca="false">G34+G42+G51+G58+G65+G69+G80</f>
        <v>8442.5</v>
      </c>
      <c r="H84" s="33" t="n">
        <f aca="false">IF($C$6=0,0,G84/$C$6)</f>
        <v>211.0625</v>
      </c>
    </row>
    <row r="85" customFormat="false" ht="15" hidden="false" customHeight="false" outlineLevel="0" collapsed="false">
      <c r="B85" s="9" t="s">
        <v>228</v>
      </c>
      <c r="C85" s="9"/>
      <c r="D85" s="9"/>
      <c r="E85" s="9"/>
      <c r="F85" s="9"/>
      <c r="G85" s="31" t="n">
        <f aca="false">G84*$C$13</f>
        <v>422.125</v>
      </c>
      <c r="H85" s="31" t="n">
        <f aca="false">IF($C$6=0,0,G85/$C$6)</f>
        <v>10.553125</v>
      </c>
    </row>
    <row r="86" customFormat="false" ht="15" hidden="false" customHeight="false" outlineLevel="0" collapsed="false">
      <c r="B86" s="9" t="s">
        <v>229</v>
      </c>
      <c r="C86" s="9"/>
      <c r="D86" s="9"/>
      <c r="E86" s="9"/>
      <c r="F86" s="9"/>
      <c r="G86" s="31" t="n">
        <f aca="false">G84*$C$14</f>
        <v>422.125</v>
      </c>
      <c r="H86" s="31" t="n">
        <f aca="false">IF($C$6=0,0,G86/$C$6)</f>
        <v>10.553125</v>
      </c>
    </row>
    <row r="87" customFormat="false" ht="15" hidden="false" customHeight="false" outlineLevel="0" collapsed="false">
      <c r="B87" s="12" t="s">
        <v>230</v>
      </c>
      <c r="C87" s="12"/>
      <c r="D87" s="12"/>
      <c r="E87" s="12"/>
      <c r="F87" s="12"/>
      <c r="G87" s="33" t="n">
        <f aca="false">SUM(G84:G86)</f>
        <v>9286.75</v>
      </c>
      <c r="H87" s="33" t="n">
        <f aca="false">IF($C$6=0,0,G87/$C$6)</f>
        <v>232.16875</v>
      </c>
    </row>
    <row r="89" customFormat="false" ht="15" hidden="false" customHeight="false" outlineLevel="0" collapsed="false">
      <c r="B89" s="28" t="s">
        <v>231</v>
      </c>
      <c r="C89" s="28"/>
      <c r="D89" s="28"/>
      <c r="E89" s="28"/>
      <c r="F89" s="28"/>
      <c r="G89" s="28"/>
      <c r="H89" s="28"/>
    </row>
    <row r="90" customFormat="false" ht="15" hidden="false" customHeight="false" outlineLevel="0" collapsed="false">
      <c r="B90" s="35" t="s">
        <v>232</v>
      </c>
      <c r="C90" s="35"/>
      <c r="D90" s="35"/>
      <c r="E90" s="35"/>
      <c r="F90" s="35"/>
      <c r="G90" s="36" t="n">
        <f aca="false">IF($C$15&gt;=1,0,G87/(1-$C$15))</f>
        <v>11608.4375</v>
      </c>
      <c r="H90" s="36" t="n">
        <f aca="false">IF($C$6=0,0,G90/$C$6)</f>
        <v>290.2109375</v>
      </c>
    </row>
    <row r="91" customFormat="false" ht="15" hidden="false" customHeight="false" outlineLevel="0" collapsed="false">
      <c r="B91" s="35" t="s">
        <v>233</v>
      </c>
      <c r="C91" s="35"/>
      <c r="D91" s="35"/>
      <c r="E91" s="35"/>
      <c r="F91" s="35"/>
      <c r="G91" s="36" t="n">
        <f aca="false">G90-G87</f>
        <v>2321.6875</v>
      </c>
      <c r="H91" s="36" t="n">
        <f aca="false">IF($C$6=0,0,G91/$C$6)</f>
        <v>58.0421875</v>
      </c>
    </row>
    <row r="92" customFormat="false" ht="15" hidden="false" customHeight="false" outlineLevel="0" collapsed="false">
      <c r="B92" s="9" t="s">
        <v>234</v>
      </c>
      <c r="C92" s="9"/>
      <c r="D92" s="9"/>
      <c r="E92" s="9"/>
      <c r="F92" s="9"/>
      <c r="G92" s="37" t="n">
        <f aca="false">IF(G90=0,0,G91/G90)</f>
        <v>0.2</v>
      </c>
      <c r="H92" s="38"/>
    </row>
    <row r="93" customFormat="false" ht="15" hidden="false" customHeight="false" outlineLevel="0" collapsed="false">
      <c r="B93" s="9" t="s">
        <v>235</v>
      </c>
      <c r="C93" s="9"/>
      <c r="D93" s="9"/>
      <c r="E93" s="9"/>
      <c r="F93" s="9"/>
      <c r="G93" s="37" t="n">
        <f aca="false">IF(G87=0,0,G91/G87)</f>
        <v>0.25</v>
      </c>
      <c r="H93" s="38"/>
    </row>
    <row r="95" customFormat="false" ht="15" hidden="false" customHeight="false" outlineLevel="0" collapsed="false">
      <c r="B95" s="28" t="s">
        <v>236</v>
      </c>
      <c r="C95" s="28"/>
      <c r="D95" s="28"/>
      <c r="E95" s="28"/>
      <c r="F95" s="28"/>
      <c r="G95" s="28"/>
      <c r="H95" s="28"/>
    </row>
    <row r="96" customFormat="false" ht="15" hidden="false" customHeight="false" outlineLevel="0" collapsed="false">
      <c r="B96" s="9" t="s">
        <v>237</v>
      </c>
      <c r="C96" s="9"/>
      <c r="D96" s="9"/>
      <c r="E96" s="9"/>
      <c r="F96" s="9"/>
      <c r="G96" s="39" t="n">
        <f aca="false">G87*$C$16</f>
        <v>44576400</v>
      </c>
      <c r="H96" s="39" t="n">
        <f aca="false">IF($C$6=0,0,G96/$C$6)</f>
        <v>1114410</v>
      </c>
    </row>
    <row r="97" customFormat="false" ht="15" hidden="false" customHeight="false" outlineLevel="0" collapsed="false">
      <c r="B97" s="9" t="s">
        <v>238</v>
      </c>
      <c r="C97" s="9"/>
      <c r="D97" s="9"/>
      <c r="E97" s="9"/>
      <c r="F97" s="9"/>
      <c r="G97" s="39" t="n">
        <f aca="false">G90*$C$16</f>
        <v>55720500</v>
      </c>
      <c r="H97" s="39" t="n">
        <f aca="false">IF($C$6=0,0,G97/$C$6)</f>
        <v>1393012.5</v>
      </c>
    </row>
    <row r="98" customFormat="false" ht="15" hidden="false" customHeight="false" outlineLevel="0" collapsed="false">
      <c r="B98" s="9" t="s">
        <v>239</v>
      </c>
      <c r="C98" s="9"/>
      <c r="D98" s="9"/>
      <c r="E98" s="9"/>
      <c r="F98" s="9"/>
      <c r="G98" s="39" t="n">
        <f aca="false">G91*$C$16</f>
        <v>11144100</v>
      </c>
      <c r="H98" s="39" t="n">
        <f aca="false">IF($C$6=0,0,G98/$C$6)</f>
        <v>278602.5</v>
      </c>
    </row>
    <row r="100" customFormat="false" ht="15" hidden="false" customHeight="false" outlineLevel="0" collapsed="false">
      <c r="B100" s="23" t="s">
        <v>240</v>
      </c>
      <c r="C100" s="23"/>
      <c r="D100" s="23"/>
      <c r="E100" s="23"/>
      <c r="F100" s="23"/>
      <c r="G100" s="23"/>
      <c r="H100" s="23"/>
    </row>
    <row r="101" customFormat="false" ht="35.05" hidden="false" customHeight="false" outlineLevel="0" collapsed="false">
      <c r="B101" s="27" t="s">
        <v>241</v>
      </c>
      <c r="C101" s="27" t="s">
        <v>242</v>
      </c>
      <c r="D101" s="27" t="s">
        <v>243</v>
      </c>
      <c r="E101" s="27" t="s">
        <v>244</v>
      </c>
      <c r="F101" s="27" t="s">
        <v>245</v>
      </c>
    </row>
    <row r="102" customFormat="false" ht="15" hidden="false" customHeight="false" outlineLevel="0" collapsed="false">
      <c r="B102" s="40" t="n">
        <v>0.1</v>
      </c>
      <c r="C102" s="31" t="n">
        <f aca="false">IF($C$6=0,0,(G87/(1-B102))/$C$6)</f>
        <v>257.965277777778</v>
      </c>
      <c r="D102" s="39" t="n">
        <f aca="false">C102*$C$16</f>
        <v>1238233.33333333</v>
      </c>
      <c r="E102" s="31" t="n">
        <f aca="false">C102-IF($C$6=0,0,G87/$C$6)</f>
        <v>25.7965277777778</v>
      </c>
      <c r="F102" s="31" t="n">
        <f aca="false">(G87/(1-B102))-G87</f>
        <v>1031.86111111111</v>
      </c>
    </row>
    <row r="103" customFormat="false" ht="15" hidden="false" customHeight="false" outlineLevel="0" collapsed="false">
      <c r="B103" s="40" t="n">
        <v>0.125</v>
      </c>
      <c r="C103" s="31" t="n">
        <f aca="false">IF($C$6=0,0,(G87/(1-B103))/$C$6)</f>
        <v>265.335714285714</v>
      </c>
      <c r="D103" s="39" t="n">
        <f aca="false">C103*$C$16</f>
        <v>1273611.42857143</v>
      </c>
      <c r="E103" s="31" t="n">
        <f aca="false">C103-IF($C$6=0,0,G87/$C$6)</f>
        <v>33.1669642857143</v>
      </c>
      <c r="F103" s="31" t="n">
        <f aca="false">(G87/(1-B103))-G87</f>
        <v>1326.67857142857</v>
      </c>
    </row>
    <row r="104" customFormat="false" ht="15" hidden="false" customHeight="false" outlineLevel="0" collapsed="false">
      <c r="B104" s="40" t="n">
        <v>0.15</v>
      </c>
      <c r="C104" s="31" t="n">
        <f aca="false">IF($C$6=0,0,(G87/(1-B104))/$C$6)</f>
        <v>273.139705882353</v>
      </c>
      <c r="D104" s="39" t="n">
        <f aca="false">C104*$C$16</f>
        <v>1311070.58823529</v>
      </c>
      <c r="E104" s="31" t="n">
        <f aca="false">C104-IF($C$6=0,0,G87/$C$6)</f>
        <v>40.9709558823529</v>
      </c>
      <c r="F104" s="31" t="n">
        <f aca="false">(G87/(1-B104))-G87</f>
        <v>1638.83823529412</v>
      </c>
    </row>
    <row r="105" customFormat="false" ht="15" hidden="false" customHeight="false" outlineLevel="0" collapsed="false">
      <c r="B105" s="40" t="n">
        <v>0.175</v>
      </c>
      <c r="C105" s="31" t="n">
        <f aca="false">IF($C$6=0,0,(G87/(1-B105))/$C$6)</f>
        <v>281.416666666667</v>
      </c>
      <c r="D105" s="39" t="n">
        <f aca="false">C105*$C$16</f>
        <v>1350800</v>
      </c>
      <c r="E105" s="31" t="n">
        <f aca="false">C105-IF($C$6=0,0,G87/$C$6)</f>
        <v>49.2479166666667</v>
      </c>
      <c r="F105" s="31" t="n">
        <f aca="false">(G87/(1-B105))-G87</f>
        <v>1969.91666666667</v>
      </c>
    </row>
    <row r="106" customFormat="false" ht="15" hidden="false" customHeight="false" outlineLevel="0" collapsed="false">
      <c r="B106" s="40" t="n">
        <v>0.2</v>
      </c>
      <c r="C106" s="31" t="n">
        <f aca="false">IF($C$6=0,0,(G87/(1-B106))/$C$6)</f>
        <v>290.2109375</v>
      </c>
      <c r="D106" s="39" t="n">
        <f aca="false">C106*$C$16</f>
        <v>1393012.5</v>
      </c>
      <c r="E106" s="31" t="n">
        <f aca="false">C106-IF($C$6=0,0,G87/$C$6)</f>
        <v>58.0421875</v>
      </c>
      <c r="F106" s="31" t="n">
        <f aca="false">(G87/(1-B106))-G87</f>
        <v>2321.6875</v>
      </c>
    </row>
    <row r="107" customFormat="false" ht="15" hidden="false" customHeight="false" outlineLevel="0" collapsed="false">
      <c r="B107" s="40" t="n">
        <v>0.225</v>
      </c>
      <c r="C107" s="31" t="n">
        <f aca="false">IF($C$6=0,0,(G87/(1-B107))/$C$6)</f>
        <v>299.572580645161</v>
      </c>
      <c r="D107" s="39" t="n">
        <f aca="false">C107*$C$16</f>
        <v>1437948.38709677</v>
      </c>
      <c r="E107" s="31" t="n">
        <f aca="false">C107-IF($C$6=0,0,G87/$C$6)</f>
        <v>67.4038306451613</v>
      </c>
      <c r="F107" s="31" t="n">
        <f aca="false">(G87/(1-B107))-G87</f>
        <v>2696.15322580645</v>
      </c>
    </row>
    <row r="108" customFormat="false" ht="15" hidden="false" customHeight="false" outlineLevel="0" collapsed="false">
      <c r="B108" s="40" t="n">
        <v>0.25</v>
      </c>
      <c r="C108" s="31" t="n">
        <f aca="false">IF($C$6=0,0,(G87/(1-B108))/$C$6)</f>
        <v>309.558333333333</v>
      </c>
      <c r="D108" s="39" t="n">
        <f aca="false">C108*$C$16</f>
        <v>1485880</v>
      </c>
      <c r="E108" s="31" t="n">
        <f aca="false">C108-IF($C$6=0,0,G87/$C$6)</f>
        <v>77.3895833333334</v>
      </c>
      <c r="F108" s="31" t="n">
        <f aca="false">(G87/(1-B108))-G87</f>
        <v>3095.58333333333</v>
      </c>
    </row>
    <row r="109" customFormat="false" ht="15" hidden="false" customHeight="false" outlineLevel="0" collapsed="false">
      <c r="B109" s="40" t="n">
        <v>0.3</v>
      </c>
      <c r="C109" s="31" t="n">
        <f aca="false">IF($C$6=0,0,(G87/(1-B109))/$C$6)</f>
        <v>331.669642857143</v>
      </c>
      <c r="D109" s="39" t="n">
        <f aca="false">C109*$C$16</f>
        <v>1592014.28571429</v>
      </c>
      <c r="E109" s="31" t="n">
        <f aca="false">C109-IF($C$6=0,0,G87/$C$6)</f>
        <v>99.5008928571429</v>
      </c>
      <c r="F109" s="31" t="n">
        <f aca="false">(G87/(1-B109))-G87</f>
        <v>3980.03571428572</v>
      </c>
    </row>
  </sheetData>
  <mergeCells count="36">
    <mergeCell ref="B5:H5"/>
    <mergeCell ref="D6:H6"/>
    <mergeCell ref="D7:H7"/>
    <mergeCell ref="D8:H8"/>
    <mergeCell ref="D9:H9"/>
    <mergeCell ref="D10:H10"/>
    <mergeCell ref="D11:H11"/>
    <mergeCell ref="D12:H12"/>
    <mergeCell ref="D13:H13"/>
    <mergeCell ref="D14:H14"/>
    <mergeCell ref="D15:H15"/>
    <mergeCell ref="D16:H16"/>
    <mergeCell ref="B18:H18"/>
    <mergeCell ref="B20:H20"/>
    <mergeCell ref="B36:H36"/>
    <mergeCell ref="B44:H44"/>
    <mergeCell ref="B53:H53"/>
    <mergeCell ref="B60:H60"/>
    <mergeCell ref="B67:H67"/>
    <mergeCell ref="B71:H71"/>
    <mergeCell ref="B82:H82"/>
    <mergeCell ref="B83:F83"/>
    <mergeCell ref="B84:F84"/>
    <mergeCell ref="B85:F85"/>
    <mergeCell ref="B86:F86"/>
    <mergeCell ref="B87:F87"/>
    <mergeCell ref="B89:H89"/>
    <mergeCell ref="B90:F90"/>
    <mergeCell ref="B91:F91"/>
    <mergeCell ref="B92:F92"/>
    <mergeCell ref="B93:F93"/>
    <mergeCell ref="B95:H95"/>
    <mergeCell ref="B96:F96"/>
    <mergeCell ref="B97:F97"/>
    <mergeCell ref="B98:F98"/>
    <mergeCell ref="B100:H100"/>
  </mergeCells>
  <dataValidations count="3">
    <dataValidation allowBlank="false" errorStyle="stop" operator="between" showDropDown="false" showErrorMessage="false" showInputMessage="false" sqref="C11" type="list">
      <formula1>"Reguler,Premium"</formula1>
      <formula2>0</formula2>
    </dataValidation>
    <dataValidation allowBlank="false" errorStyle="stop" operator="between" showDropDown="false" showErrorMessage="false" showInputMessage="false" sqref="C12" type="list">
      <formula1>"Standar,Maksimal"</formula1>
      <formula2>0</formula2>
    </dataValidation>
    <dataValidation allowBlank="false" errorStyle="stop" operator="between" showDropDown="false" showErrorMessage="false" showInputMessage="false" sqref="C21:C33 C37:C41 C45:C50 C54:C57 C61:C64 C68 C72:C79" type="list">
      <formula1>"YA,TIDAK"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18"/>
    <col collapsed="false" customWidth="true" hidden="false" outlineLevel="0" max="5" min="5" style="0" width="4"/>
    <col collapsed="false" customWidth="true" hidden="false" outlineLevel="0" max="6" min="6" style="0" width="42"/>
  </cols>
  <sheetData>
    <row r="2" customFormat="false" ht="19.7" hidden="false" customHeight="false" outlineLevel="0" collapsed="false">
      <c r="B2" s="1" t="s">
        <v>246</v>
      </c>
    </row>
    <row r="3" customFormat="false" ht="15" hidden="false" customHeight="false" outlineLevel="0" collapsed="false">
      <c r="B3" s="3" t="s">
        <v>247</v>
      </c>
    </row>
    <row r="5" customFormat="false" ht="15" hidden="false" customHeight="false" outlineLevel="0" collapsed="false">
      <c r="B5" s="41" t="s">
        <v>248</v>
      </c>
      <c r="C5" s="41"/>
      <c r="D5" s="41"/>
    </row>
    <row r="6" customFormat="false" ht="15" hidden="false" customHeight="false" outlineLevel="0" collapsed="false">
      <c r="B6" s="42" t="s">
        <v>224</v>
      </c>
      <c r="C6" s="42" t="s">
        <v>249</v>
      </c>
      <c r="D6" s="42" t="s">
        <v>250</v>
      </c>
    </row>
    <row r="7" customFormat="false" ht="15" hidden="false" customHeight="false" outlineLevel="0" collapsed="false">
      <c r="B7" s="17" t="s">
        <v>251</v>
      </c>
      <c r="C7" s="30" t="n">
        <f aca="false">KALKULATOR!G91</f>
        <v>2321.6875</v>
      </c>
      <c r="D7" s="43" t="n">
        <f aca="false">C7*KALKULATOR!$C$16</f>
        <v>11144100</v>
      </c>
    </row>
    <row r="8" customFormat="false" ht="15" hidden="false" customHeight="false" outlineLevel="0" collapsed="false">
      <c r="B8" s="9" t="s">
        <v>252</v>
      </c>
      <c r="C8" s="44" t="n">
        <v>0</v>
      </c>
      <c r="D8" s="39" t="n">
        <f aca="false">C8*KALKULATOR!$C$16</f>
        <v>0</v>
      </c>
    </row>
    <row r="9" customFormat="false" ht="15" hidden="false" customHeight="false" outlineLevel="0" collapsed="false">
      <c r="B9" s="12" t="s">
        <v>253</v>
      </c>
      <c r="C9" s="33" t="n">
        <f aca="false">C7-C8</f>
        <v>2321.6875</v>
      </c>
      <c r="D9" s="45" t="n">
        <f aca="false">C9*KALKULATOR!$C$16</f>
        <v>11144100</v>
      </c>
    </row>
    <row r="10" customFormat="false" ht="15" hidden="false" customHeight="false" outlineLevel="0" collapsed="false">
      <c r="B10" s="9" t="s">
        <v>254</v>
      </c>
      <c r="C10" s="31" t="n">
        <f aca="false">C9*0.35</f>
        <v>812.590625</v>
      </c>
      <c r="D10" s="39" t="n">
        <f aca="false">C10*KALKULATOR!$C$16</f>
        <v>3900435</v>
      </c>
    </row>
    <row r="11" customFormat="false" ht="15" hidden="false" customHeight="false" outlineLevel="0" collapsed="false">
      <c r="B11" s="9" t="s">
        <v>255</v>
      </c>
      <c r="C11" s="31" t="n">
        <f aca="false">C9-C10</f>
        <v>1509.096875</v>
      </c>
      <c r="D11" s="39" t="n">
        <f aca="false">C11*KALKULATOR!$C$16</f>
        <v>7243665</v>
      </c>
    </row>
    <row r="12" customFormat="false" ht="15" hidden="false" customHeight="false" outlineLevel="0" collapsed="false">
      <c r="B12" s="9" t="s">
        <v>256</v>
      </c>
      <c r="C12" s="46" t="n">
        <v>0.11</v>
      </c>
      <c r="D12" s="21" t="s">
        <v>257</v>
      </c>
    </row>
    <row r="13" customFormat="false" ht="15" hidden="false" customHeight="false" outlineLevel="0" collapsed="false">
      <c r="B13" s="9" t="s">
        <v>258</v>
      </c>
      <c r="C13" s="31" t="n">
        <f aca="false">C11*C12</f>
        <v>166.00065625</v>
      </c>
      <c r="D13" s="39" t="n">
        <f aca="false">C13*KALKULATOR!$C$16</f>
        <v>796803.15</v>
      </c>
    </row>
    <row r="14" customFormat="false" ht="15" hidden="false" customHeight="false" outlineLevel="0" collapsed="false">
      <c r="B14" s="35" t="s">
        <v>259</v>
      </c>
      <c r="C14" s="36" t="n">
        <f aca="false">C11-C13</f>
        <v>1343.09621875</v>
      </c>
      <c r="D14" s="47" t="n">
        <f aca="false">C14*KALKULATOR!$C$16</f>
        <v>6446861.85</v>
      </c>
    </row>
    <row r="16" customFormat="false" ht="15" hidden="false" customHeight="false" outlineLevel="0" collapsed="false">
      <c r="B16" s="41" t="s">
        <v>260</v>
      </c>
      <c r="C16" s="41"/>
      <c r="D16" s="41"/>
    </row>
    <row r="17" customFormat="false" ht="15" hidden="false" customHeight="false" outlineLevel="0" collapsed="false">
      <c r="B17" s="42" t="s">
        <v>261</v>
      </c>
      <c r="C17" s="42" t="s">
        <v>249</v>
      </c>
      <c r="D17" s="42" t="s">
        <v>250</v>
      </c>
    </row>
    <row r="18" customFormat="false" ht="15" hidden="false" customHeight="false" outlineLevel="0" collapsed="false">
      <c r="B18" s="9" t="s">
        <v>262</v>
      </c>
      <c r="C18" s="31" t="n">
        <f aca="false">C9*0.14</f>
        <v>325.03625</v>
      </c>
      <c r="D18" s="39" t="n">
        <f aca="false">C18*KALKULATOR!$C$16</f>
        <v>1560174</v>
      </c>
    </row>
    <row r="19" customFormat="false" ht="15" hidden="false" customHeight="false" outlineLevel="0" collapsed="false">
      <c r="B19" s="9" t="s">
        <v>263</v>
      </c>
      <c r="C19" s="31" t="n">
        <f aca="false">C9*0.14</f>
        <v>325.03625</v>
      </c>
      <c r="D19" s="39" t="n">
        <f aca="false">C19*KALKULATOR!$C$16</f>
        <v>1560174</v>
      </c>
    </row>
    <row r="20" customFormat="false" ht="15" hidden="false" customHeight="false" outlineLevel="0" collapsed="false">
      <c r="B20" s="9" t="s">
        <v>264</v>
      </c>
      <c r="C20" s="31" t="n">
        <f aca="false">C9*0.07</f>
        <v>162.518125</v>
      </c>
      <c r="D20" s="39" t="n">
        <f aca="false">C20*KALKULATOR!$C$16</f>
        <v>780087</v>
      </c>
    </row>
    <row r="21" customFormat="false" ht="15" hidden="false" customHeight="false" outlineLevel="0" collapsed="false">
      <c r="B21" s="12" t="s">
        <v>265</v>
      </c>
      <c r="C21" s="33" t="n">
        <f aca="false">SUM(C18:C20)</f>
        <v>812.590625</v>
      </c>
      <c r="D21" s="45" t="n">
        <f aca="false">C21*KALKULATOR!$C$16</f>
        <v>3900435</v>
      </c>
    </row>
    <row r="23" customFormat="false" ht="15" hidden="false" customHeight="false" outlineLevel="0" collapsed="false">
      <c r="B23" s="41" t="s">
        <v>266</v>
      </c>
      <c r="C23" s="41"/>
      <c r="D23" s="41"/>
    </row>
    <row r="24" customFormat="false" ht="15" hidden="false" customHeight="false" outlineLevel="0" collapsed="false">
      <c r="B24" s="42" t="s">
        <v>267</v>
      </c>
      <c r="C24" s="42" t="s">
        <v>249</v>
      </c>
      <c r="D24" s="42" t="s">
        <v>250</v>
      </c>
    </row>
    <row r="25" customFormat="false" ht="15" hidden="false" customHeight="false" outlineLevel="0" collapsed="false">
      <c r="B25" s="9" t="s">
        <v>268</v>
      </c>
      <c r="C25" s="31" t="n">
        <f aca="false">C14*0.23</f>
        <v>308.9121303125</v>
      </c>
      <c r="D25" s="39" t="n">
        <f aca="false">C25*KALKULATOR!$C$16</f>
        <v>1482778.2255</v>
      </c>
    </row>
    <row r="26" customFormat="false" ht="15" hidden="false" customHeight="false" outlineLevel="0" collapsed="false">
      <c r="B26" s="9" t="s">
        <v>269</v>
      </c>
      <c r="C26" s="31" t="n">
        <f aca="false">C14*0.77</f>
        <v>1034.1840884375</v>
      </c>
      <c r="D26" s="39" t="n">
        <f aca="false">C26*KALKULATOR!$C$16</f>
        <v>4964083.6245</v>
      </c>
    </row>
    <row r="28" customFormat="false" ht="15" hidden="false" customHeight="false" outlineLevel="0" collapsed="false">
      <c r="B28" s="41" t="s">
        <v>270</v>
      </c>
      <c r="C28" s="41"/>
      <c r="D28" s="41"/>
    </row>
    <row r="29" customFormat="false" ht="15" hidden="false" customHeight="false" outlineLevel="0" collapsed="false">
      <c r="B29" s="17" t="s">
        <v>271</v>
      </c>
      <c r="C29" s="24" t="n">
        <v>4</v>
      </c>
      <c r="D29" s="38"/>
    </row>
    <row r="30" customFormat="false" ht="15" hidden="false" customHeight="false" outlineLevel="0" collapsed="false">
      <c r="B30" s="9" t="s">
        <v>272</v>
      </c>
      <c r="C30" s="48" t="n">
        <f aca="false">C29*12</f>
        <v>48</v>
      </c>
      <c r="D30" s="38"/>
    </row>
    <row r="31" customFormat="false" ht="15" hidden="false" customHeight="false" outlineLevel="0" collapsed="false">
      <c r="B31" s="42" t="s">
        <v>267</v>
      </c>
      <c r="C31" s="42" t="s">
        <v>273</v>
      </c>
      <c r="D31" s="42" t="s">
        <v>274</v>
      </c>
    </row>
    <row r="32" customFormat="false" ht="15" hidden="false" customHeight="false" outlineLevel="0" collapsed="false">
      <c r="B32" s="9" t="s">
        <v>275</v>
      </c>
      <c r="C32" s="49" t="n">
        <f aca="false">C9*C30</f>
        <v>111441</v>
      </c>
      <c r="D32" s="39" t="n">
        <f aca="false">C32*KALKULATOR!$C$16</f>
        <v>534916800</v>
      </c>
    </row>
    <row r="33" customFormat="false" ht="15" hidden="false" customHeight="false" outlineLevel="0" collapsed="false">
      <c r="B33" s="9" t="s">
        <v>276</v>
      </c>
      <c r="C33" s="49" t="n">
        <f aca="false">C18*C30</f>
        <v>15601.74</v>
      </c>
      <c r="D33" s="39" t="n">
        <f aca="false">C33*KALKULATOR!$C$16</f>
        <v>74888352</v>
      </c>
    </row>
    <row r="34" customFormat="false" ht="15" hidden="false" customHeight="false" outlineLevel="0" collapsed="false">
      <c r="B34" s="9" t="s">
        <v>277</v>
      </c>
      <c r="C34" s="49" t="n">
        <f aca="false">C19*C30</f>
        <v>15601.74</v>
      </c>
      <c r="D34" s="39" t="n">
        <f aca="false">C34*KALKULATOR!$C$16</f>
        <v>74888352</v>
      </c>
    </row>
    <row r="35" customFormat="false" ht="15" hidden="false" customHeight="false" outlineLevel="0" collapsed="false">
      <c r="B35" s="9" t="s">
        <v>278</v>
      </c>
      <c r="C35" s="49" t="n">
        <f aca="false">C20*C30</f>
        <v>7800.87</v>
      </c>
      <c r="D35" s="39" t="n">
        <f aca="false">C35*KALKULATOR!$C$16</f>
        <v>37444176</v>
      </c>
    </row>
    <row r="36" customFormat="false" ht="15" hidden="false" customHeight="false" outlineLevel="0" collapsed="false">
      <c r="B36" s="9" t="s">
        <v>279</v>
      </c>
      <c r="C36" s="49" t="n">
        <f aca="false">C13*C30</f>
        <v>7968.0315</v>
      </c>
      <c r="D36" s="39" t="n">
        <f aca="false">C36*KALKULATOR!$C$16</f>
        <v>38246551.2</v>
      </c>
    </row>
    <row r="37" customFormat="false" ht="15" hidden="false" customHeight="false" outlineLevel="0" collapsed="false">
      <c r="B37" s="12" t="s">
        <v>280</v>
      </c>
      <c r="C37" s="50" t="n">
        <f aca="false">C14*C30</f>
        <v>64468.6185</v>
      </c>
      <c r="D37" s="45" t="n">
        <f aca="false">C37*KALKULATOR!$C$16</f>
        <v>309449368.8</v>
      </c>
    </row>
    <row r="38" customFormat="false" ht="15" hidden="false" customHeight="false" outlineLevel="0" collapsed="false">
      <c r="B38" s="9" t="s">
        <v>281</v>
      </c>
      <c r="C38" s="49" t="n">
        <f aca="false">C25*C30</f>
        <v>14827.782255</v>
      </c>
      <c r="D38" s="39" t="n">
        <f aca="false">C38*KALKULATOR!$C$16</f>
        <v>71173354.824</v>
      </c>
    </row>
    <row r="39" customFormat="false" ht="15" hidden="false" customHeight="false" outlineLevel="0" collapsed="false">
      <c r="B39" s="9" t="s">
        <v>282</v>
      </c>
      <c r="C39" s="49" t="n">
        <f aca="false">C26*C30</f>
        <v>49640.836245</v>
      </c>
      <c r="D39" s="39" t="n">
        <f aca="false">C39*KALKULATOR!$C$16</f>
        <v>238276013.976</v>
      </c>
    </row>
    <row r="41" customFormat="false" ht="15" hidden="false" customHeight="true" outlineLevel="0" collapsed="false">
      <c r="B41" s="22" t="s">
        <v>283</v>
      </c>
      <c r="C41" s="22"/>
      <c r="D41" s="22"/>
    </row>
    <row r="42" customFormat="false" ht="15" hidden="false" customHeight="false" outlineLevel="0" collapsed="false">
      <c r="B42" s="22"/>
      <c r="C42" s="22"/>
      <c r="D42" s="22"/>
    </row>
    <row r="43" customFormat="false" ht="15" hidden="false" customHeight="false" outlineLevel="0" collapsed="false">
      <c r="B43" s="22"/>
      <c r="C43" s="22"/>
      <c r="D43" s="22"/>
    </row>
    <row r="44" customFormat="false" ht="15" hidden="false" customHeight="false" outlineLevel="0" collapsed="false">
      <c r="B44" s="22"/>
      <c r="C44" s="22"/>
      <c r="D44" s="22"/>
    </row>
    <row r="45" customFormat="false" ht="15" hidden="false" customHeight="false" outlineLevel="0" collapsed="false">
      <c r="B45" s="22"/>
      <c r="C45" s="22"/>
      <c r="D45" s="22"/>
    </row>
  </sheetData>
  <mergeCells count="5">
    <mergeCell ref="B5:D5"/>
    <mergeCell ref="B16:D16"/>
    <mergeCell ref="B23:D23"/>
    <mergeCell ref="B28:D28"/>
    <mergeCell ref="B41: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2026-08-06T17:26:30Z</dcterms:created>
  <dc:creator>openpyxl</dc:creator>
  <dc:description/>
  <dc:language>en-US</dc:language>
  <cp:lastModifiedBy/>
  <dcterms:modified xsi:type="dcterms:W3CDTF">2026-08-06T17:26:31Z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